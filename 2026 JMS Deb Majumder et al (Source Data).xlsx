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marpandebmajumder/Desktop/My papers/Fouling paper/"/>
    </mc:Choice>
  </mc:AlternateContent>
  <xr:revisionPtr revIDLastSave="0" documentId="13_ncr:1_{CE5E9CBA-DD52-3048-AD3A-1C801F098B58}" xr6:coauthVersionLast="47" xr6:coauthVersionMax="47" xr10:uidLastSave="{00000000-0000-0000-0000-000000000000}"/>
  <bookViews>
    <workbookView xWindow="0" yWindow="660" windowWidth="29400" windowHeight="18460" firstSheet="2" activeTab="11" xr2:uid="{00000000-000D-0000-FFFF-FFFF00000000}"/>
  </bookViews>
  <sheets>
    <sheet name="Surface and solution properties" sheetId="2" r:id="rId1"/>
    <sheet name="SA-BSA Fouling" sheetId="8" r:id="rId2"/>
    <sheet name="pH 7 DI cleaning" sheetId="9" r:id="rId3"/>
    <sheet name="pH 10 cleaning" sheetId="10" r:id="rId4"/>
    <sheet name="pH 10 NaOCl cleaning" sheetId="11" r:id="rId5"/>
    <sheet name="SA_0mM Ca2+" sheetId="12" r:id="rId6"/>
    <sheet name="SA_1mM Ca2+" sheetId="13" r:id="rId7"/>
    <sheet name="SA_2mM Ca2+" sheetId="14" r:id="rId8"/>
    <sheet name="BSA_0mM Ca2+" sheetId="15" r:id="rId9"/>
    <sheet name="BSA_1mM Ca2+" sheetId="16" r:id="rId10"/>
    <sheet name="BSA_2mM Ca2+" sheetId="17" r:id="rId11"/>
    <sheet name="Chlorination performance" sheetId="1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1" i="19" l="1"/>
  <c r="AE47" i="19"/>
  <c r="AD51" i="19"/>
  <c r="AH56" i="19"/>
  <c r="AH51" i="19"/>
  <c r="AH47" i="19"/>
  <c r="AH15" i="19"/>
  <c r="AG51" i="19"/>
  <c r="AI51" i="19"/>
  <c r="Y11" i="19"/>
  <c r="K69" i="19"/>
  <c r="K64" i="19"/>
  <c r="K59" i="19"/>
  <c r="AI72" i="19"/>
  <c r="AI68" i="19"/>
  <c r="AG72" i="19"/>
  <c r="AH72" i="19"/>
  <c r="AF72" i="19"/>
  <c r="P72" i="19"/>
  <c r="W72" i="19"/>
  <c r="Z72" i="19"/>
  <c r="AA72" i="19"/>
  <c r="AA205" i="19"/>
  <c r="AA204" i="19"/>
  <c r="AA202" i="19"/>
  <c r="AA201" i="19"/>
  <c r="AA200" i="19"/>
  <c r="AA199" i="19"/>
  <c r="AA197" i="19"/>
  <c r="AA196" i="19"/>
  <c r="AA195" i="19"/>
  <c r="AA194" i="19"/>
  <c r="AA192" i="19"/>
  <c r="AA191" i="19"/>
  <c r="AA189" i="19"/>
  <c r="AA188" i="19"/>
  <c r="AA186" i="19"/>
  <c r="AA185" i="19"/>
  <c r="AA184" i="19"/>
  <c r="AA183" i="19"/>
  <c r="AA181" i="19"/>
  <c r="AA180" i="19"/>
  <c r="AA179" i="19"/>
  <c r="AA178" i="19"/>
  <c r="AA176" i="19"/>
  <c r="AA175" i="19"/>
  <c r="AA173" i="19"/>
  <c r="AA172" i="19"/>
  <c r="AA170" i="19"/>
  <c r="AA169" i="19"/>
  <c r="AA168" i="19"/>
  <c r="AA167" i="19"/>
  <c r="AA165" i="19"/>
  <c r="AA164" i="19"/>
  <c r="AA163" i="19"/>
  <c r="AA162" i="19"/>
  <c r="AA160" i="19"/>
  <c r="AA159" i="19"/>
  <c r="AA157" i="19"/>
  <c r="AA156" i="19"/>
  <c r="AA154" i="19"/>
  <c r="AA153" i="19"/>
  <c r="AA152" i="19"/>
  <c r="AA151" i="19"/>
  <c r="AA149" i="19"/>
  <c r="AA148" i="19"/>
  <c r="AA147" i="19"/>
  <c r="AA146" i="19"/>
  <c r="AA144" i="19"/>
  <c r="AA143" i="19"/>
  <c r="AA139" i="19"/>
  <c r="AA138" i="19"/>
  <c r="AA136" i="19"/>
  <c r="AA135" i="19"/>
  <c r="AA134" i="19"/>
  <c r="AA133" i="19"/>
  <c r="AA131" i="19"/>
  <c r="AA130" i="19"/>
  <c r="AA129" i="19"/>
  <c r="AA128" i="19"/>
  <c r="AA126" i="19"/>
  <c r="AA125" i="19"/>
  <c r="AA123" i="19"/>
  <c r="AA122" i="19"/>
  <c r="AA120" i="19"/>
  <c r="AA119" i="19"/>
  <c r="AA118" i="19"/>
  <c r="AA117" i="19"/>
  <c r="AA115" i="19"/>
  <c r="AA114" i="19"/>
  <c r="AA113" i="19"/>
  <c r="AA112" i="19"/>
  <c r="AA110" i="19"/>
  <c r="AA109" i="19"/>
  <c r="AA107" i="19"/>
  <c r="AA106" i="19"/>
  <c r="AA104" i="19"/>
  <c r="AA103" i="19"/>
  <c r="AA102" i="19"/>
  <c r="AA101" i="19"/>
  <c r="AA99" i="19"/>
  <c r="AA98" i="19"/>
  <c r="AA97" i="19"/>
  <c r="AA96" i="19"/>
  <c r="AA94" i="19"/>
  <c r="AA93" i="19"/>
  <c r="AA91" i="19"/>
  <c r="AA90" i="19"/>
  <c r="AA88" i="19"/>
  <c r="AA87" i="19"/>
  <c r="AA86" i="19"/>
  <c r="AA85" i="19"/>
  <c r="AA83" i="19"/>
  <c r="AA82" i="19"/>
  <c r="AA81" i="19"/>
  <c r="AA80" i="19"/>
  <c r="AA78" i="19"/>
  <c r="AA77" i="19"/>
  <c r="AA70" i="19"/>
  <c r="AA69" i="19"/>
  <c r="AA68" i="19"/>
  <c r="AA67" i="19"/>
  <c r="AA65" i="19"/>
  <c r="AA64" i="19"/>
  <c r="AA63" i="19"/>
  <c r="AA62" i="19"/>
  <c r="AA60" i="19"/>
  <c r="AA59" i="19"/>
  <c r="AA56" i="19"/>
  <c r="AA54" i="19"/>
  <c r="AA53" i="19"/>
  <c r="AA51" i="19"/>
  <c r="AA49" i="19"/>
  <c r="AA48" i="19"/>
  <c r="AA47" i="19"/>
  <c r="AA46" i="19"/>
  <c r="AA44" i="19"/>
  <c r="AA43" i="19"/>
  <c r="AA41" i="19"/>
  <c r="AA40" i="19"/>
  <c r="AA38" i="19"/>
  <c r="AA37" i="19"/>
  <c r="AA36" i="19"/>
  <c r="AA35" i="19"/>
  <c r="AA33" i="19"/>
  <c r="AA32" i="19"/>
  <c r="AA31" i="19"/>
  <c r="AA30" i="19"/>
  <c r="AA28" i="19"/>
  <c r="AA27" i="19"/>
  <c r="AA25" i="19"/>
  <c r="AA24" i="19"/>
  <c r="AA22" i="19"/>
  <c r="AA21" i="19"/>
  <c r="AA20" i="19"/>
  <c r="AA17" i="19"/>
  <c r="AA16" i="19"/>
  <c r="AA15" i="19"/>
  <c r="AA14" i="19"/>
  <c r="AA12" i="19"/>
  <c r="AA11" i="19"/>
  <c r="Z205" i="19"/>
  <c r="Z204" i="19"/>
  <c r="Z202" i="19"/>
  <c r="Z201" i="19"/>
  <c r="Z200" i="19"/>
  <c r="Z199" i="19"/>
  <c r="Z197" i="19"/>
  <c r="Z196" i="19"/>
  <c r="Z195" i="19"/>
  <c r="Z194" i="19"/>
  <c r="Z192" i="19"/>
  <c r="Z191" i="19"/>
  <c r="Z189" i="19"/>
  <c r="Z188" i="19"/>
  <c r="Z186" i="19"/>
  <c r="Z185" i="19"/>
  <c r="Z184" i="19"/>
  <c r="Z183" i="19"/>
  <c r="Z181" i="19"/>
  <c r="Z180" i="19"/>
  <c r="Z179" i="19"/>
  <c r="Z178" i="19"/>
  <c r="Z176" i="19"/>
  <c r="Z175" i="19"/>
  <c r="Z173" i="19"/>
  <c r="Z172" i="19"/>
  <c r="Z170" i="19"/>
  <c r="Z169" i="19"/>
  <c r="Z168" i="19"/>
  <c r="Z167" i="19"/>
  <c r="Z165" i="19"/>
  <c r="Z164" i="19"/>
  <c r="Z163" i="19"/>
  <c r="Z162" i="19"/>
  <c r="Z160" i="19"/>
  <c r="Z159" i="19"/>
  <c r="Z157" i="19"/>
  <c r="Z156" i="19"/>
  <c r="Z154" i="19"/>
  <c r="Z153" i="19"/>
  <c r="Z152" i="19"/>
  <c r="Z151" i="19"/>
  <c r="Z149" i="19"/>
  <c r="Z148" i="19"/>
  <c r="Z147" i="19"/>
  <c r="Z146" i="19"/>
  <c r="Z144" i="19"/>
  <c r="Z143" i="19"/>
  <c r="Z139" i="19"/>
  <c r="Z138" i="19"/>
  <c r="Z136" i="19"/>
  <c r="Z135" i="19"/>
  <c r="Z134" i="19"/>
  <c r="Z133" i="19"/>
  <c r="Z131" i="19"/>
  <c r="Z130" i="19"/>
  <c r="Z129" i="19"/>
  <c r="Z128" i="19"/>
  <c r="Z126" i="19"/>
  <c r="Z125" i="19"/>
  <c r="Z123" i="19"/>
  <c r="Z122" i="19"/>
  <c r="Z120" i="19"/>
  <c r="Z119" i="19"/>
  <c r="Z118" i="19"/>
  <c r="Z117" i="19"/>
  <c r="Z115" i="19"/>
  <c r="Z114" i="19"/>
  <c r="Z113" i="19"/>
  <c r="Z112" i="19"/>
  <c r="Z110" i="19"/>
  <c r="Z109" i="19"/>
  <c r="Z107" i="19"/>
  <c r="Z106" i="19"/>
  <c r="Z104" i="19"/>
  <c r="Z103" i="19"/>
  <c r="Z102" i="19"/>
  <c r="Z101" i="19"/>
  <c r="Z99" i="19"/>
  <c r="Z98" i="19"/>
  <c r="Z97" i="19"/>
  <c r="Z96" i="19"/>
  <c r="Z94" i="19"/>
  <c r="Z93" i="19"/>
  <c r="Z91" i="19"/>
  <c r="Z90" i="19"/>
  <c r="Z88" i="19"/>
  <c r="Z87" i="19"/>
  <c r="Z86" i="19"/>
  <c r="Z85" i="19"/>
  <c r="Z83" i="19"/>
  <c r="Z82" i="19"/>
  <c r="Z81" i="19"/>
  <c r="Z80" i="19"/>
  <c r="Z78" i="19"/>
  <c r="Z77" i="19"/>
  <c r="Z70" i="19"/>
  <c r="Z69" i="19"/>
  <c r="Z68" i="19"/>
  <c r="Z67" i="19"/>
  <c r="Z65" i="19"/>
  <c r="Z64" i="19"/>
  <c r="Z63" i="19"/>
  <c r="Z62" i="19"/>
  <c r="Z60" i="19"/>
  <c r="Z59" i="19"/>
  <c r="Z56" i="19"/>
  <c r="Z54" i="19"/>
  <c r="Z53" i="19"/>
  <c r="Z51" i="19"/>
  <c r="Z49" i="19"/>
  <c r="Z48" i="19"/>
  <c r="Z47" i="19"/>
  <c r="Z46" i="19"/>
  <c r="Z44" i="19"/>
  <c r="Z43" i="19"/>
  <c r="Z41" i="19"/>
  <c r="Z40" i="19"/>
  <c r="Z38" i="19"/>
  <c r="Z37" i="19"/>
  <c r="Z36" i="19"/>
  <c r="Z35" i="19"/>
  <c r="Z33" i="19"/>
  <c r="Z32" i="19"/>
  <c r="Z31" i="19"/>
  <c r="Z30" i="19"/>
  <c r="Z28" i="19"/>
  <c r="Z27" i="19"/>
  <c r="Z25" i="19"/>
  <c r="Z24" i="19"/>
  <c r="Z22" i="19"/>
  <c r="Z21" i="19"/>
  <c r="Z20" i="19"/>
  <c r="Z19" i="19"/>
  <c r="Z17" i="19"/>
  <c r="Z16" i="19"/>
  <c r="Z15" i="19"/>
  <c r="Z14" i="19"/>
  <c r="Z12" i="19"/>
  <c r="Z11" i="19"/>
  <c r="Y205" i="19"/>
  <c r="Y204" i="19"/>
  <c r="Y202" i="19"/>
  <c r="Y201" i="19"/>
  <c r="Y200" i="19"/>
  <c r="Y199" i="19"/>
  <c r="Y197" i="19"/>
  <c r="Y196" i="19"/>
  <c r="Y195" i="19"/>
  <c r="Y194" i="19"/>
  <c r="Y192" i="19"/>
  <c r="Y191" i="19"/>
  <c r="Y189" i="19"/>
  <c r="Y188" i="19"/>
  <c r="Y186" i="19"/>
  <c r="Y185" i="19"/>
  <c r="Y184" i="19"/>
  <c r="Y183" i="19"/>
  <c r="Y181" i="19"/>
  <c r="Y180" i="19"/>
  <c r="Y179" i="19"/>
  <c r="Y178" i="19"/>
  <c r="Y176" i="19"/>
  <c r="Y175" i="19"/>
  <c r="Y173" i="19"/>
  <c r="Y172" i="19"/>
  <c r="Y170" i="19"/>
  <c r="Y169" i="19"/>
  <c r="Y167" i="19"/>
  <c r="Y165" i="19"/>
  <c r="Y164" i="19"/>
  <c r="Y163" i="19"/>
  <c r="Y162" i="19"/>
  <c r="Y160" i="19"/>
  <c r="Y159" i="19"/>
  <c r="Y157" i="19"/>
  <c r="Y156" i="19"/>
  <c r="Y154" i="19"/>
  <c r="Y153" i="19"/>
  <c r="Y152" i="19"/>
  <c r="Y151" i="19"/>
  <c r="Y149" i="19"/>
  <c r="Y148" i="19"/>
  <c r="Y147" i="19"/>
  <c r="Y146" i="19"/>
  <c r="Y144" i="19"/>
  <c r="Y143" i="19"/>
  <c r="Y139" i="19"/>
  <c r="Y138" i="19"/>
  <c r="Y136" i="19"/>
  <c r="Y135" i="19"/>
  <c r="Y134" i="19"/>
  <c r="Y133" i="19"/>
  <c r="Y131" i="19"/>
  <c r="Y130" i="19"/>
  <c r="Y129" i="19"/>
  <c r="Y128" i="19"/>
  <c r="Y126" i="19"/>
  <c r="Y125" i="19"/>
  <c r="Y123" i="19"/>
  <c r="Y122" i="19"/>
  <c r="Y120" i="19"/>
  <c r="Y119" i="19"/>
  <c r="Y118" i="19"/>
  <c r="Y117" i="19"/>
  <c r="Y115" i="19"/>
  <c r="Y114" i="19"/>
  <c r="Y113" i="19"/>
  <c r="Y112" i="19"/>
  <c r="Y110" i="19"/>
  <c r="Y109" i="19"/>
  <c r="Y107" i="19"/>
  <c r="Y106" i="19"/>
  <c r="Y104" i="19"/>
  <c r="Y102" i="19"/>
  <c r="Y101" i="19"/>
  <c r="Y99" i="19"/>
  <c r="Y98" i="19"/>
  <c r="Y97" i="19"/>
  <c r="Y96" i="19"/>
  <c r="Y93" i="19"/>
  <c r="Y91" i="19"/>
  <c r="Y90" i="19"/>
  <c r="Y88" i="19"/>
  <c r="Y87" i="19"/>
  <c r="Y86" i="19"/>
  <c r="Y85" i="19"/>
  <c r="Y83" i="19"/>
  <c r="Y82" i="19"/>
  <c r="Y81" i="19"/>
  <c r="Y80" i="19"/>
  <c r="Y78" i="19"/>
  <c r="Y77" i="19"/>
  <c r="Y70" i="19"/>
  <c r="Y69" i="19"/>
  <c r="Y65" i="19"/>
  <c r="Y64" i="19"/>
  <c r="Y60" i="19"/>
  <c r="Y59" i="19"/>
  <c r="Y56" i="19"/>
  <c r="Y54" i="19"/>
  <c r="Y53" i="19"/>
  <c r="Y51" i="19"/>
  <c r="Y49" i="19"/>
  <c r="Y48" i="19"/>
  <c r="Y47" i="19"/>
  <c r="Y46" i="19"/>
  <c r="Y44" i="19"/>
  <c r="Y43" i="19"/>
  <c r="Y41" i="19"/>
  <c r="Y40" i="19"/>
  <c r="Y38" i="19"/>
  <c r="Y37" i="19"/>
  <c r="Y36" i="19"/>
  <c r="Y35" i="19"/>
  <c r="Y33" i="19"/>
  <c r="Y32" i="19"/>
  <c r="Y31" i="19"/>
  <c r="Y30" i="19"/>
  <c r="Y28" i="19"/>
  <c r="Y27" i="19"/>
  <c r="Y25" i="19"/>
  <c r="Y24" i="19"/>
  <c r="Y22" i="19"/>
  <c r="Y20" i="19"/>
  <c r="Y19" i="19"/>
  <c r="Y17" i="19"/>
  <c r="Y16" i="19"/>
  <c r="Y14" i="19"/>
  <c r="Y12" i="19"/>
  <c r="X205" i="19"/>
  <c r="AD205" i="19" s="1"/>
  <c r="X204" i="19"/>
  <c r="X202" i="19"/>
  <c r="X201" i="19"/>
  <c r="X200" i="19"/>
  <c r="AD200" i="19" s="1"/>
  <c r="X199" i="19"/>
  <c r="X197" i="19"/>
  <c r="X196" i="19"/>
  <c r="X195" i="19"/>
  <c r="AD195" i="19" s="1"/>
  <c r="X194" i="19"/>
  <c r="X192" i="19"/>
  <c r="X191" i="19"/>
  <c r="X189" i="19"/>
  <c r="AD189" i="19" s="1"/>
  <c r="X188" i="19"/>
  <c r="X186" i="19"/>
  <c r="X185" i="19"/>
  <c r="X184" i="19"/>
  <c r="X183" i="19"/>
  <c r="X181" i="19"/>
  <c r="X180" i="19"/>
  <c r="X179" i="19"/>
  <c r="AD179" i="19" s="1"/>
  <c r="X178" i="19"/>
  <c r="X176" i="19"/>
  <c r="X175" i="19"/>
  <c r="X173" i="19"/>
  <c r="AD173" i="19" s="1"/>
  <c r="X172" i="19"/>
  <c r="X170" i="19"/>
  <c r="X169" i="19"/>
  <c r="X167" i="19"/>
  <c r="X165" i="19"/>
  <c r="X164" i="19"/>
  <c r="X163" i="19"/>
  <c r="AD163" i="19" s="1"/>
  <c r="X162" i="19"/>
  <c r="X160" i="19"/>
  <c r="X159" i="19"/>
  <c r="X157" i="19"/>
  <c r="AD157" i="19" s="1"/>
  <c r="X156" i="19"/>
  <c r="X154" i="19"/>
  <c r="X153" i="19"/>
  <c r="X152" i="19"/>
  <c r="AD152" i="19" s="1"/>
  <c r="X151" i="19"/>
  <c r="X149" i="19"/>
  <c r="X148" i="19"/>
  <c r="X147" i="19"/>
  <c r="AD147" i="19" s="1"/>
  <c r="X146" i="19"/>
  <c r="X144" i="19"/>
  <c r="X143" i="19"/>
  <c r="X139" i="19"/>
  <c r="AD139" i="19" s="1"/>
  <c r="X138" i="19"/>
  <c r="X136" i="19"/>
  <c r="X135" i="19"/>
  <c r="X134" i="19"/>
  <c r="AD134" i="19" s="1"/>
  <c r="X133" i="19"/>
  <c r="X131" i="19"/>
  <c r="X130" i="19"/>
  <c r="X129" i="19"/>
  <c r="AD129" i="19" s="1"/>
  <c r="X128" i="19"/>
  <c r="X126" i="19"/>
  <c r="X125" i="19"/>
  <c r="X123" i="19"/>
  <c r="AD123" i="19" s="1"/>
  <c r="X122" i="19"/>
  <c r="X120" i="19"/>
  <c r="X119" i="19"/>
  <c r="X118" i="19"/>
  <c r="AD118" i="19" s="1"/>
  <c r="X117" i="19"/>
  <c r="X115" i="19"/>
  <c r="X114" i="19"/>
  <c r="X113" i="19"/>
  <c r="AD113" i="19" s="1"/>
  <c r="X112" i="19"/>
  <c r="X110" i="19"/>
  <c r="X109" i="19"/>
  <c r="X107" i="19"/>
  <c r="AD107" i="19" s="1"/>
  <c r="X106" i="19"/>
  <c r="X104" i="19"/>
  <c r="X102" i="19"/>
  <c r="AD102" i="19" s="1"/>
  <c r="X101" i="19"/>
  <c r="X99" i="19"/>
  <c r="X98" i="19"/>
  <c r="X97" i="19"/>
  <c r="X96" i="19"/>
  <c r="X93" i="19"/>
  <c r="X91" i="19"/>
  <c r="AD91" i="19" s="1"/>
  <c r="X90" i="19"/>
  <c r="X88" i="19"/>
  <c r="X87" i="19"/>
  <c r="X86" i="19"/>
  <c r="AD86" i="19" s="1"/>
  <c r="X85" i="19"/>
  <c r="X83" i="19"/>
  <c r="X82" i="19"/>
  <c r="X81" i="19"/>
  <c r="AD81" i="19" s="1"/>
  <c r="X80" i="19"/>
  <c r="X78" i="19"/>
  <c r="X77" i="19"/>
  <c r="X70" i="19"/>
  <c r="X69" i="19"/>
  <c r="X65" i="19"/>
  <c r="X64" i="19"/>
  <c r="X60" i="19"/>
  <c r="X59" i="19"/>
  <c r="X56" i="19"/>
  <c r="AD56" i="19" s="1"/>
  <c r="X54" i="19"/>
  <c r="X53" i="19"/>
  <c r="X51" i="19"/>
  <c r="X49" i="19"/>
  <c r="X48" i="19"/>
  <c r="X47" i="19"/>
  <c r="AD47" i="19" s="1"/>
  <c r="X46" i="19"/>
  <c r="X44" i="19"/>
  <c r="X43" i="19"/>
  <c r="X41" i="19"/>
  <c r="AD41" i="19" s="1"/>
  <c r="X40" i="19"/>
  <c r="X38" i="19"/>
  <c r="X37" i="19"/>
  <c r="X36" i="19"/>
  <c r="AD36" i="19" s="1"/>
  <c r="X35" i="19"/>
  <c r="X33" i="19"/>
  <c r="X32" i="19"/>
  <c r="X31" i="19"/>
  <c r="AD31" i="19" s="1"/>
  <c r="X30" i="19"/>
  <c r="X28" i="19"/>
  <c r="X27" i="19"/>
  <c r="X25" i="19"/>
  <c r="X24" i="19"/>
  <c r="X22" i="19"/>
  <c r="X20" i="19"/>
  <c r="X19" i="19"/>
  <c r="X17" i="19"/>
  <c r="X16" i="19"/>
  <c r="X14" i="19"/>
  <c r="X12" i="19"/>
  <c r="W205" i="19"/>
  <c r="AG205" i="19" s="1"/>
  <c r="W204" i="19"/>
  <c r="W202" i="19"/>
  <c r="W201" i="19"/>
  <c r="W200" i="19"/>
  <c r="AG200" i="19" s="1"/>
  <c r="W199" i="19"/>
  <c r="W197" i="19"/>
  <c r="W196" i="19"/>
  <c r="W195" i="19"/>
  <c r="AG195" i="19" s="1"/>
  <c r="W194" i="19"/>
  <c r="W192" i="19"/>
  <c r="W191" i="19"/>
  <c r="W189" i="19"/>
  <c r="AG189" i="19" s="1"/>
  <c r="W188" i="19"/>
  <c r="W186" i="19"/>
  <c r="W185" i="19"/>
  <c r="W184" i="19"/>
  <c r="AG184" i="19" s="1"/>
  <c r="W183" i="19"/>
  <c r="W181" i="19"/>
  <c r="W180" i="19"/>
  <c r="W179" i="19"/>
  <c r="AG179" i="19" s="1"/>
  <c r="W178" i="19"/>
  <c r="W176" i="19"/>
  <c r="W175" i="19"/>
  <c r="W173" i="19"/>
  <c r="AG173" i="19" s="1"/>
  <c r="W172" i="19"/>
  <c r="W170" i="19"/>
  <c r="W169" i="19"/>
  <c r="W168" i="19"/>
  <c r="AG168" i="19" s="1"/>
  <c r="W167" i="19"/>
  <c r="W165" i="19"/>
  <c r="W164" i="19"/>
  <c r="W163" i="19"/>
  <c r="AG163" i="19" s="1"/>
  <c r="W162" i="19"/>
  <c r="W160" i="19"/>
  <c r="W159" i="19"/>
  <c r="W157" i="19"/>
  <c r="AG157" i="19" s="1"/>
  <c r="W156" i="19"/>
  <c r="W154" i="19"/>
  <c r="W153" i="19"/>
  <c r="W152" i="19"/>
  <c r="AG152" i="19" s="1"/>
  <c r="W151" i="19"/>
  <c r="W149" i="19"/>
  <c r="W148" i="19"/>
  <c r="W147" i="19"/>
  <c r="AG147" i="19" s="1"/>
  <c r="W146" i="19"/>
  <c r="W144" i="19"/>
  <c r="W143" i="19"/>
  <c r="W139" i="19"/>
  <c r="AG139" i="19" s="1"/>
  <c r="W138" i="19"/>
  <c r="W136" i="19"/>
  <c r="W135" i="19"/>
  <c r="W134" i="19"/>
  <c r="AG134" i="19" s="1"/>
  <c r="W133" i="19"/>
  <c r="W131" i="19"/>
  <c r="W130" i="19"/>
  <c r="W129" i="19"/>
  <c r="AG129" i="19" s="1"/>
  <c r="W128" i="19"/>
  <c r="W126" i="19"/>
  <c r="W125" i="19"/>
  <c r="W123" i="19"/>
  <c r="AG123" i="19" s="1"/>
  <c r="W122" i="19"/>
  <c r="W120" i="19"/>
  <c r="W119" i="19"/>
  <c r="W118" i="19"/>
  <c r="AG118" i="19" s="1"/>
  <c r="W117" i="19"/>
  <c r="W115" i="19"/>
  <c r="W114" i="19"/>
  <c r="W113" i="19"/>
  <c r="AG113" i="19" s="1"/>
  <c r="W112" i="19"/>
  <c r="W110" i="19"/>
  <c r="W109" i="19"/>
  <c r="W107" i="19"/>
  <c r="AG107" i="19" s="1"/>
  <c r="W106" i="19"/>
  <c r="W104" i="19"/>
  <c r="W103" i="19"/>
  <c r="W102" i="19"/>
  <c r="AG102" i="19" s="1"/>
  <c r="W101" i="19"/>
  <c r="W99" i="19"/>
  <c r="W98" i="19"/>
  <c r="W97" i="19"/>
  <c r="AG97" i="19" s="1"/>
  <c r="W96" i="19"/>
  <c r="W94" i="19"/>
  <c r="W93" i="19"/>
  <c r="W91" i="19"/>
  <c r="AG91" i="19" s="1"/>
  <c r="W90" i="19"/>
  <c r="W88" i="19"/>
  <c r="W87" i="19"/>
  <c r="W86" i="19"/>
  <c r="AG86" i="19" s="1"/>
  <c r="W85" i="19"/>
  <c r="W83" i="19"/>
  <c r="W82" i="19"/>
  <c r="W81" i="19"/>
  <c r="AG81" i="19" s="1"/>
  <c r="W80" i="19"/>
  <c r="W78" i="19"/>
  <c r="W77" i="19"/>
  <c r="W70" i="19"/>
  <c r="W69" i="19"/>
  <c r="W68" i="19"/>
  <c r="W67" i="19"/>
  <c r="W65" i="19"/>
  <c r="W64" i="19"/>
  <c r="W63" i="19"/>
  <c r="W62" i="19"/>
  <c r="W60" i="19"/>
  <c r="W59" i="19"/>
  <c r="W56" i="19"/>
  <c r="W54" i="19"/>
  <c r="W53" i="19"/>
  <c r="W51" i="19"/>
  <c r="W49" i="19"/>
  <c r="W48" i="19"/>
  <c r="W47" i="19"/>
  <c r="W46" i="19"/>
  <c r="W44" i="19"/>
  <c r="W43" i="19"/>
  <c r="W41" i="19"/>
  <c r="W40" i="19"/>
  <c r="W38" i="19"/>
  <c r="W37" i="19"/>
  <c r="W36" i="19"/>
  <c r="W35" i="19"/>
  <c r="W33" i="19"/>
  <c r="W32" i="19"/>
  <c r="W31" i="19"/>
  <c r="W30" i="19"/>
  <c r="W28" i="19"/>
  <c r="W27" i="19"/>
  <c r="AG31" i="19"/>
  <c r="AG41" i="19"/>
  <c r="AG68" i="19"/>
  <c r="AG63" i="19"/>
  <c r="AG56" i="19"/>
  <c r="AI56" i="19" s="1"/>
  <c r="AG47" i="19"/>
  <c r="AG36" i="19"/>
  <c r="V205" i="19"/>
  <c r="V204" i="19"/>
  <c r="V202" i="19"/>
  <c r="V201" i="19"/>
  <c r="V200" i="19"/>
  <c r="V199" i="19"/>
  <c r="V197" i="19"/>
  <c r="V196" i="19"/>
  <c r="V195" i="19"/>
  <c r="V194" i="19"/>
  <c r="V192" i="19"/>
  <c r="V191" i="19"/>
  <c r="V189" i="19"/>
  <c r="V188" i="19"/>
  <c r="V186" i="19"/>
  <c r="V185" i="19"/>
  <c r="V184" i="19"/>
  <c r="V183" i="19"/>
  <c r="V181" i="19"/>
  <c r="V180" i="19"/>
  <c r="V179" i="19"/>
  <c r="V178" i="19"/>
  <c r="V176" i="19"/>
  <c r="V175" i="19"/>
  <c r="V173" i="19"/>
  <c r="V172" i="19"/>
  <c r="V170" i="19"/>
  <c r="V169" i="19"/>
  <c r="V168" i="19"/>
  <c r="V167" i="19"/>
  <c r="V165" i="19"/>
  <c r="V164" i="19"/>
  <c r="V163" i="19"/>
  <c r="V162" i="19"/>
  <c r="V160" i="19"/>
  <c r="V159" i="19"/>
  <c r="V157" i="19"/>
  <c r="V156" i="19"/>
  <c r="V154" i="19"/>
  <c r="V153" i="19"/>
  <c r="V152" i="19"/>
  <c r="V151" i="19"/>
  <c r="V149" i="19"/>
  <c r="V148" i="19"/>
  <c r="V147" i="19"/>
  <c r="V146" i="19"/>
  <c r="V144" i="19"/>
  <c r="V143" i="19"/>
  <c r="V139" i="19"/>
  <c r="V138" i="19"/>
  <c r="V136" i="19"/>
  <c r="V135" i="19"/>
  <c r="V134" i="19"/>
  <c r="V133" i="19"/>
  <c r="V131" i="19"/>
  <c r="V130" i="19"/>
  <c r="V129" i="19"/>
  <c r="V128" i="19"/>
  <c r="V126" i="19"/>
  <c r="V125" i="19"/>
  <c r="V123" i="19"/>
  <c r="V122" i="19"/>
  <c r="V120" i="19"/>
  <c r="V119" i="19"/>
  <c r="V118" i="19"/>
  <c r="V117" i="19"/>
  <c r="V115" i="19"/>
  <c r="V114" i="19"/>
  <c r="V113" i="19"/>
  <c r="V112" i="19"/>
  <c r="V110" i="19"/>
  <c r="V109" i="19"/>
  <c r="V107" i="19"/>
  <c r="V106" i="19"/>
  <c r="V104" i="19"/>
  <c r="V103" i="19"/>
  <c r="V102" i="19"/>
  <c r="V101" i="19"/>
  <c r="V99" i="19"/>
  <c r="V98" i="19"/>
  <c r="V97" i="19"/>
  <c r="V96" i="19"/>
  <c r="V94" i="19"/>
  <c r="V93" i="19"/>
  <c r="V91" i="19"/>
  <c r="V90" i="19"/>
  <c r="V88" i="19"/>
  <c r="V87" i="19"/>
  <c r="V86" i="19"/>
  <c r="V85" i="19"/>
  <c r="V83" i="19"/>
  <c r="V82" i="19"/>
  <c r="V81" i="19"/>
  <c r="V80" i="19"/>
  <c r="V78" i="19"/>
  <c r="V77" i="19"/>
  <c r="V70" i="19"/>
  <c r="V69" i="19"/>
  <c r="V65" i="19"/>
  <c r="V64" i="19"/>
  <c r="V60" i="19"/>
  <c r="V59" i="19"/>
  <c r="V56" i="19"/>
  <c r="V54" i="19"/>
  <c r="V53" i="19"/>
  <c r="V51" i="19"/>
  <c r="V49" i="19"/>
  <c r="V48" i="19"/>
  <c r="V47" i="19"/>
  <c r="V46" i="19"/>
  <c r="V44" i="19"/>
  <c r="V43" i="19"/>
  <c r="V41" i="19"/>
  <c r="V40" i="19"/>
  <c r="V38" i="19"/>
  <c r="V37" i="19"/>
  <c r="V36" i="19"/>
  <c r="V35" i="19"/>
  <c r="V33" i="19"/>
  <c r="V32" i="19"/>
  <c r="V31" i="19"/>
  <c r="V30" i="19"/>
  <c r="V28" i="19"/>
  <c r="V27" i="19"/>
  <c r="S205" i="19"/>
  <c r="AC205" i="19" s="1"/>
  <c r="AE205" i="19" s="1"/>
  <c r="S204" i="19"/>
  <c r="S202" i="19"/>
  <c r="S201" i="19"/>
  <c r="S200" i="19"/>
  <c r="S199" i="19"/>
  <c r="S197" i="19"/>
  <c r="S196" i="19"/>
  <c r="S195" i="19"/>
  <c r="AC195" i="19" s="1"/>
  <c r="AE195" i="19" s="1"/>
  <c r="S194" i="19"/>
  <c r="S192" i="19"/>
  <c r="S191" i="19"/>
  <c r="S189" i="19"/>
  <c r="AC189" i="19" s="1"/>
  <c r="AE189" i="19" s="1"/>
  <c r="S188" i="19"/>
  <c r="S186" i="19"/>
  <c r="S185" i="19"/>
  <c r="S184" i="19"/>
  <c r="S183" i="19"/>
  <c r="S181" i="19"/>
  <c r="S180" i="19"/>
  <c r="S179" i="19"/>
  <c r="S178" i="19"/>
  <c r="S176" i="19"/>
  <c r="S175" i="19"/>
  <c r="S173" i="19"/>
  <c r="AC173" i="19" s="1"/>
  <c r="S172" i="19"/>
  <c r="S170" i="19"/>
  <c r="S169" i="19"/>
  <c r="S168" i="19"/>
  <c r="AC168" i="19" s="1"/>
  <c r="S167" i="19"/>
  <c r="S165" i="19"/>
  <c r="S164" i="19"/>
  <c r="S163" i="19"/>
  <c r="AC163" i="19" s="1"/>
  <c r="S162" i="19"/>
  <c r="S160" i="19"/>
  <c r="S159" i="19"/>
  <c r="S157" i="19"/>
  <c r="AC157" i="19" s="1"/>
  <c r="S156" i="19"/>
  <c r="S154" i="19"/>
  <c r="S153" i="19"/>
  <c r="S152" i="19"/>
  <c r="AC152" i="19" s="1"/>
  <c r="S151" i="19"/>
  <c r="S149" i="19"/>
  <c r="S148" i="19"/>
  <c r="S147" i="19"/>
  <c r="AC147" i="19" s="1"/>
  <c r="S146" i="19"/>
  <c r="S144" i="19"/>
  <c r="S143" i="19"/>
  <c r="S139" i="19"/>
  <c r="AC139" i="19" s="1"/>
  <c r="S138" i="19"/>
  <c r="S136" i="19"/>
  <c r="S135" i="19"/>
  <c r="S134" i="19"/>
  <c r="AC134" i="19" s="1"/>
  <c r="S133" i="19"/>
  <c r="S131" i="19"/>
  <c r="S130" i="19"/>
  <c r="S129" i="19"/>
  <c r="AC129" i="19" s="1"/>
  <c r="S128" i="19"/>
  <c r="S126" i="19"/>
  <c r="S125" i="19"/>
  <c r="S123" i="19"/>
  <c r="AC123" i="19" s="1"/>
  <c r="S122" i="19"/>
  <c r="S120" i="19"/>
  <c r="S119" i="19"/>
  <c r="S118" i="19"/>
  <c r="AC118" i="19" s="1"/>
  <c r="S117" i="19"/>
  <c r="S115" i="19"/>
  <c r="S114" i="19"/>
  <c r="S113" i="19"/>
  <c r="AC113" i="19" s="1"/>
  <c r="S112" i="19"/>
  <c r="S110" i="19"/>
  <c r="S109" i="19"/>
  <c r="S107" i="19"/>
  <c r="AC107" i="19" s="1"/>
  <c r="S106" i="19"/>
  <c r="S104" i="19"/>
  <c r="S103" i="19"/>
  <c r="S102" i="19"/>
  <c r="AC102" i="19" s="1"/>
  <c r="S101" i="19"/>
  <c r="S99" i="19"/>
  <c r="S98" i="19"/>
  <c r="S97" i="19"/>
  <c r="AC97" i="19" s="1"/>
  <c r="S96" i="19"/>
  <c r="S94" i="19"/>
  <c r="S93" i="19"/>
  <c r="S91" i="19"/>
  <c r="AC91" i="19" s="1"/>
  <c r="S90" i="19"/>
  <c r="S88" i="19"/>
  <c r="S87" i="19"/>
  <c r="S86" i="19"/>
  <c r="AC86" i="19" s="1"/>
  <c r="S85" i="19"/>
  <c r="S83" i="19"/>
  <c r="S82" i="19"/>
  <c r="S81" i="19"/>
  <c r="AC81" i="19" s="1"/>
  <c r="S80" i="19"/>
  <c r="S78" i="19"/>
  <c r="S77" i="19"/>
  <c r="S70" i="19"/>
  <c r="S69" i="19"/>
  <c r="S65" i="19"/>
  <c r="S64" i="19"/>
  <c r="S60" i="19"/>
  <c r="S59" i="19"/>
  <c r="S56" i="19"/>
  <c r="AC56" i="19" s="1"/>
  <c r="S54" i="19"/>
  <c r="S53" i="19"/>
  <c r="S51" i="19"/>
  <c r="S49" i="19"/>
  <c r="S48" i="19"/>
  <c r="S47" i="19"/>
  <c r="AC47" i="19" s="1"/>
  <c r="S46" i="19"/>
  <c r="S44" i="19"/>
  <c r="S43" i="19"/>
  <c r="S41" i="19"/>
  <c r="AC41" i="19" s="1"/>
  <c r="S40" i="19"/>
  <c r="S38" i="19"/>
  <c r="S37" i="19"/>
  <c r="S36" i="19"/>
  <c r="AC36" i="19" s="1"/>
  <c r="S35" i="19"/>
  <c r="S33" i="19"/>
  <c r="S32" i="19"/>
  <c r="S31" i="19"/>
  <c r="AC31" i="19" s="1"/>
  <c r="S30" i="19"/>
  <c r="S28" i="19"/>
  <c r="S27" i="19"/>
  <c r="R204" i="19"/>
  <c r="R205" i="19" s="1"/>
  <c r="R201" i="19"/>
  <c r="R202" i="19" s="1"/>
  <c r="R199" i="19"/>
  <c r="R200" i="19" s="1"/>
  <c r="R196" i="19"/>
  <c r="R197" i="19" s="1"/>
  <c r="R194" i="19"/>
  <c r="R195" i="19" s="1"/>
  <c r="R191" i="19"/>
  <c r="R192" i="19" s="1"/>
  <c r="R188" i="19"/>
  <c r="R189" i="19" s="1"/>
  <c r="R185" i="19"/>
  <c r="R186" i="19" s="1"/>
  <c r="R183" i="19"/>
  <c r="R184" i="19" s="1"/>
  <c r="R180" i="19"/>
  <c r="R181" i="19" s="1"/>
  <c r="R178" i="19"/>
  <c r="R179" i="19" s="1"/>
  <c r="R175" i="19"/>
  <c r="R176" i="19" s="1"/>
  <c r="R172" i="19"/>
  <c r="R173" i="19" s="1"/>
  <c r="R169" i="19"/>
  <c r="R170" i="19" s="1"/>
  <c r="R167" i="19"/>
  <c r="R168" i="19" s="1"/>
  <c r="R164" i="19"/>
  <c r="R165" i="19" s="1"/>
  <c r="R162" i="19"/>
  <c r="R163" i="19" s="1"/>
  <c r="R159" i="19"/>
  <c r="R160" i="19" s="1"/>
  <c r="R156" i="19"/>
  <c r="R157" i="19" s="1"/>
  <c r="R153" i="19"/>
  <c r="R154" i="19" s="1"/>
  <c r="R151" i="19"/>
  <c r="R152" i="19" s="1"/>
  <c r="R148" i="19"/>
  <c r="R149" i="19" s="1"/>
  <c r="R146" i="19"/>
  <c r="R147" i="19" s="1"/>
  <c r="R143" i="19"/>
  <c r="R144" i="19" s="1"/>
  <c r="R138" i="19"/>
  <c r="R139" i="19" s="1"/>
  <c r="R135" i="19"/>
  <c r="R136" i="19" s="1"/>
  <c r="R133" i="19"/>
  <c r="R134" i="19" s="1"/>
  <c r="R130" i="19"/>
  <c r="R131" i="19" s="1"/>
  <c r="R128" i="19"/>
  <c r="R129" i="19" s="1"/>
  <c r="R125" i="19"/>
  <c r="R126" i="19" s="1"/>
  <c r="R122" i="19"/>
  <c r="R123" i="19" s="1"/>
  <c r="R119" i="19"/>
  <c r="R120" i="19" s="1"/>
  <c r="R117" i="19"/>
  <c r="R118" i="19" s="1"/>
  <c r="R114" i="19"/>
  <c r="R115" i="19" s="1"/>
  <c r="R112" i="19"/>
  <c r="R113" i="19" s="1"/>
  <c r="R109" i="19"/>
  <c r="R110" i="19" s="1"/>
  <c r="R106" i="19"/>
  <c r="R107" i="19" s="1"/>
  <c r="R103" i="19"/>
  <c r="R104" i="19" s="1"/>
  <c r="R101" i="19"/>
  <c r="R102" i="19" s="1"/>
  <c r="R98" i="19"/>
  <c r="R99" i="19" s="1"/>
  <c r="R96" i="19"/>
  <c r="R97" i="19" s="1"/>
  <c r="R93" i="19"/>
  <c r="R94" i="19" s="1"/>
  <c r="R90" i="19"/>
  <c r="R91" i="19" s="1"/>
  <c r="R87" i="19"/>
  <c r="R88" i="19" s="1"/>
  <c r="R85" i="19"/>
  <c r="R86" i="19" s="1"/>
  <c r="R82" i="19"/>
  <c r="R83" i="19" s="1"/>
  <c r="R80" i="19"/>
  <c r="R81" i="19" s="1"/>
  <c r="R77" i="19"/>
  <c r="R78" i="19" s="1"/>
  <c r="R69" i="19"/>
  <c r="R70" i="19" s="1"/>
  <c r="R64" i="19"/>
  <c r="R65" i="19" s="1"/>
  <c r="R59" i="19"/>
  <c r="R60" i="19" s="1"/>
  <c r="R56" i="19"/>
  <c r="R53" i="19"/>
  <c r="R54" i="19" s="1"/>
  <c r="R51" i="19"/>
  <c r="R48" i="19"/>
  <c r="R49" i="19" s="1"/>
  <c r="R46" i="19"/>
  <c r="R47" i="19" s="1"/>
  <c r="R43" i="19"/>
  <c r="R44" i="19" s="1"/>
  <c r="R40" i="19"/>
  <c r="R41" i="19" s="1"/>
  <c r="R37" i="19"/>
  <c r="R38" i="19" s="1"/>
  <c r="R35" i="19"/>
  <c r="R36" i="19" s="1"/>
  <c r="R32" i="19"/>
  <c r="R33" i="19" s="1"/>
  <c r="R30" i="19"/>
  <c r="R31" i="19" s="1"/>
  <c r="R27" i="19"/>
  <c r="R28" i="19" s="1"/>
  <c r="W25" i="19"/>
  <c r="S25" i="19"/>
  <c r="W24" i="19"/>
  <c r="S24" i="19"/>
  <c r="R24" i="19"/>
  <c r="W22" i="19"/>
  <c r="S22" i="19"/>
  <c r="W21" i="19"/>
  <c r="S21" i="19"/>
  <c r="R21" i="19"/>
  <c r="W20" i="19"/>
  <c r="S20" i="19"/>
  <c r="W19" i="19"/>
  <c r="AA19" i="19" s="1"/>
  <c r="S19" i="19"/>
  <c r="R19" i="19"/>
  <c r="W17" i="19"/>
  <c r="S17" i="19"/>
  <c r="W16" i="19"/>
  <c r="S16" i="19"/>
  <c r="R16" i="19"/>
  <c r="W15" i="19"/>
  <c r="S15" i="19"/>
  <c r="R15" i="19"/>
  <c r="W14" i="19"/>
  <c r="S14" i="19"/>
  <c r="R14" i="19"/>
  <c r="W12" i="19"/>
  <c r="S12" i="19"/>
  <c r="W11" i="19"/>
  <c r="S11" i="19"/>
  <c r="R11" i="19"/>
  <c r="AC15" i="19"/>
  <c r="AC20" i="19"/>
  <c r="AC25" i="19"/>
  <c r="P205" i="19"/>
  <c r="AF205" i="19" s="1"/>
  <c r="P204" i="19"/>
  <c r="P202" i="19"/>
  <c r="P201" i="19"/>
  <c r="P200" i="19"/>
  <c r="AF200" i="19" s="1"/>
  <c r="P199" i="19"/>
  <c r="P197" i="19"/>
  <c r="P196" i="19"/>
  <c r="P195" i="19"/>
  <c r="AF195" i="19" s="1"/>
  <c r="P194" i="19"/>
  <c r="P192" i="19"/>
  <c r="P191" i="19"/>
  <c r="P189" i="19"/>
  <c r="AF189" i="19" s="1"/>
  <c r="P188" i="19"/>
  <c r="P186" i="19"/>
  <c r="P185" i="19"/>
  <c r="P184" i="19"/>
  <c r="P183" i="19"/>
  <c r="P181" i="19"/>
  <c r="P180" i="19"/>
  <c r="P179" i="19"/>
  <c r="AF179" i="19" s="1"/>
  <c r="P178" i="19"/>
  <c r="P176" i="19"/>
  <c r="P175" i="19"/>
  <c r="P173" i="19"/>
  <c r="AF173" i="19" s="1"/>
  <c r="P172" i="19"/>
  <c r="P170" i="19"/>
  <c r="P169" i="19"/>
  <c r="P168" i="19"/>
  <c r="AF168" i="19" s="1"/>
  <c r="P167" i="19"/>
  <c r="P165" i="19"/>
  <c r="P164" i="19"/>
  <c r="P163" i="19"/>
  <c r="AF163" i="19" s="1"/>
  <c r="P162" i="19"/>
  <c r="P160" i="19"/>
  <c r="P159" i="19"/>
  <c r="P157" i="19"/>
  <c r="AF157" i="19" s="1"/>
  <c r="P156" i="19"/>
  <c r="P154" i="19"/>
  <c r="P153" i="19"/>
  <c r="P152" i="19"/>
  <c r="AF152" i="19" s="1"/>
  <c r="P151" i="19"/>
  <c r="P149" i="19"/>
  <c r="P148" i="19"/>
  <c r="P147" i="19"/>
  <c r="AF147" i="19" s="1"/>
  <c r="P146" i="19"/>
  <c r="P144" i="19"/>
  <c r="P143" i="19"/>
  <c r="P139" i="19"/>
  <c r="AF139" i="19" s="1"/>
  <c r="P138" i="19"/>
  <c r="P136" i="19"/>
  <c r="P135" i="19"/>
  <c r="P134" i="19"/>
  <c r="AF134" i="19" s="1"/>
  <c r="P133" i="19"/>
  <c r="P131" i="19"/>
  <c r="P130" i="19"/>
  <c r="P129" i="19"/>
  <c r="AF129" i="19" s="1"/>
  <c r="P128" i="19"/>
  <c r="P126" i="19"/>
  <c r="P125" i="19"/>
  <c r="P123" i="19"/>
  <c r="AF123" i="19" s="1"/>
  <c r="P122" i="19"/>
  <c r="P120" i="19"/>
  <c r="P119" i="19"/>
  <c r="P118" i="19"/>
  <c r="AF118" i="19" s="1"/>
  <c r="P117" i="19"/>
  <c r="P115" i="19"/>
  <c r="P114" i="19"/>
  <c r="P113" i="19"/>
  <c r="AF113" i="19" s="1"/>
  <c r="P112" i="19"/>
  <c r="P110" i="19"/>
  <c r="P109" i="19"/>
  <c r="P107" i="19"/>
  <c r="AF107" i="19" s="1"/>
  <c r="P106" i="19"/>
  <c r="P104" i="19"/>
  <c r="P103" i="19"/>
  <c r="P102" i="19"/>
  <c r="P101" i="19"/>
  <c r="P99" i="19"/>
  <c r="P98" i="19"/>
  <c r="P97" i="19"/>
  <c r="AF97" i="19" s="1"/>
  <c r="P96" i="19"/>
  <c r="P94" i="19"/>
  <c r="P93" i="19"/>
  <c r="P91" i="19"/>
  <c r="AF91" i="19" s="1"/>
  <c r="P90" i="19"/>
  <c r="P88" i="19"/>
  <c r="P87" i="19"/>
  <c r="P86" i="19"/>
  <c r="AF86" i="19" s="1"/>
  <c r="P85" i="19"/>
  <c r="P83" i="19"/>
  <c r="P82" i="19"/>
  <c r="P81" i="19"/>
  <c r="AF81" i="19" s="1"/>
  <c r="P80" i="19"/>
  <c r="P78" i="19"/>
  <c r="P77" i="19"/>
  <c r="P70" i="19"/>
  <c r="P69" i="19"/>
  <c r="P68" i="19"/>
  <c r="P67" i="19"/>
  <c r="P65" i="19"/>
  <c r="P64" i="19"/>
  <c r="P63" i="19"/>
  <c r="P62" i="19"/>
  <c r="P60" i="19"/>
  <c r="P59" i="19"/>
  <c r="P41" i="19"/>
  <c r="P40" i="19"/>
  <c r="P38" i="19"/>
  <c r="P37" i="19"/>
  <c r="P36" i="19"/>
  <c r="P35" i="19"/>
  <c r="P33" i="19"/>
  <c r="P32" i="19"/>
  <c r="P31" i="19"/>
  <c r="P30" i="19"/>
  <c r="P28" i="19"/>
  <c r="P27" i="19"/>
  <c r="P56" i="19"/>
  <c r="P54" i="19"/>
  <c r="P53" i="19"/>
  <c r="P51" i="19"/>
  <c r="P49" i="19"/>
  <c r="P48" i="19"/>
  <c r="P47" i="19"/>
  <c r="AF47" i="19" s="1"/>
  <c r="P46" i="19"/>
  <c r="P44" i="19"/>
  <c r="P43" i="19"/>
  <c r="AF41" i="19"/>
  <c r="AF36" i="19"/>
  <c r="AF31" i="19"/>
  <c r="P25" i="19"/>
  <c r="P24" i="19"/>
  <c r="P22" i="19"/>
  <c r="P21" i="19"/>
  <c r="P20" i="19"/>
  <c r="P19" i="19"/>
  <c r="P16" i="19"/>
  <c r="P17" i="19"/>
  <c r="P15" i="19"/>
  <c r="P14" i="19"/>
  <c r="P12" i="19"/>
  <c r="P11" i="19"/>
  <c r="AF51" i="19"/>
  <c r="AE51" i="19"/>
  <c r="AC51" i="19"/>
  <c r="AB51" i="19"/>
  <c r="AF63" i="19"/>
  <c r="AF68" i="19"/>
  <c r="O205" i="19"/>
  <c r="O204" i="19"/>
  <c r="O202" i="19"/>
  <c r="O201" i="19"/>
  <c r="O200" i="19"/>
  <c r="O199" i="19"/>
  <c r="O197" i="19"/>
  <c r="O196" i="19"/>
  <c r="O195" i="19"/>
  <c r="O194" i="19"/>
  <c r="O192" i="19"/>
  <c r="O191" i="19"/>
  <c r="O189" i="19"/>
  <c r="O188" i="19"/>
  <c r="O186" i="19"/>
  <c r="O185" i="19"/>
  <c r="O184" i="19"/>
  <c r="O183" i="19"/>
  <c r="O181" i="19"/>
  <c r="O180" i="19"/>
  <c r="O179" i="19"/>
  <c r="O178" i="19"/>
  <c r="O176" i="19"/>
  <c r="O175" i="19"/>
  <c r="O173" i="19"/>
  <c r="O172" i="19"/>
  <c r="O170" i="19"/>
  <c r="O169" i="19"/>
  <c r="O167" i="19"/>
  <c r="O165" i="19"/>
  <c r="O164" i="19"/>
  <c r="O163" i="19"/>
  <c r="O162" i="19"/>
  <c r="O160" i="19"/>
  <c r="O159" i="19"/>
  <c r="O157" i="19"/>
  <c r="O156" i="19"/>
  <c r="O154" i="19"/>
  <c r="O153" i="19"/>
  <c r="O152" i="19"/>
  <c r="O151" i="19"/>
  <c r="O149" i="19"/>
  <c r="O148" i="19"/>
  <c r="O147" i="19"/>
  <c r="O146" i="19"/>
  <c r="O144" i="19"/>
  <c r="O143" i="19"/>
  <c r="O139" i="19"/>
  <c r="O138" i="19"/>
  <c r="O136" i="19"/>
  <c r="O135" i="19"/>
  <c r="O134" i="19"/>
  <c r="O133" i="19"/>
  <c r="O131" i="19"/>
  <c r="O130" i="19"/>
  <c r="O129" i="19"/>
  <c r="O128" i="19"/>
  <c r="O126" i="19"/>
  <c r="O125" i="19"/>
  <c r="O123" i="19"/>
  <c r="O122" i="19"/>
  <c r="O120" i="19"/>
  <c r="O119" i="19"/>
  <c r="O118" i="19"/>
  <c r="O117" i="19"/>
  <c r="O115" i="19"/>
  <c r="O114" i="19"/>
  <c r="O113" i="19"/>
  <c r="O112" i="19"/>
  <c r="O110" i="19"/>
  <c r="O109" i="19"/>
  <c r="O107" i="19"/>
  <c r="O106" i="19"/>
  <c r="O102" i="19"/>
  <c r="O101" i="19"/>
  <c r="O99" i="19"/>
  <c r="O98" i="19"/>
  <c r="O97" i="19"/>
  <c r="O96" i="19"/>
  <c r="O93" i="19"/>
  <c r="O91" i="19"/>
  <c r="O90" i="19"/>
  <c r="O88" i="19"/>
  <c r="O87" i="19"/>
  <c r="O86" i="19"/>
  <c r="O85" i="19"/>
  <c r="O83" i="19"/>
  <c r="O82" i="19"/>
  <c r="O81" i="19"/>
  <c r="O80" i="19"/>
  <c r="O78" i="19"/>
  <c r="O77" i="19"/>
  <c r="O56" i="19"/>
  <c r="O54" i="19"/>
  <c r="O53" i="19"/>
  <c r="O51" i="19"/>
  <c r="O49" i="19"/>
  <c r="O48" i="19"/>
  <c r="O47" i="19"/>
  <c r="O46" i="19"/>
  <c r="O44" i="19"/>
  <c r="O43" i="19"/>
  <c r="O41" i="19"/>
  <c r="O40" i="19"/>
  <c r="O38" i="19"/>
  <c r="O37" i="19"/>
  <c r="O36" i="19"/>
  <c r="O35" i="19"/>
  <c r="O33" i="19"/>
  <c r="O32" i="19"/>
  <c r="O31" i="19"/>
  <c r="O30" i="19"/>
  <c r="O28" i="19"/>
  <c r="O27" i="19"/>
  <c r="O25" i="19"/>
  <c r="O24" i="19"/>
  <c r="O20" i="19"/>
  <c r="O19" i="19"/>
  <c r="O17" i="19"/>
  <c r="O16" i="19"/>
  <c r="O14" i="19"/>
  <c r="O12" i="19"/>
  <c r="O11" i="19"/>
  <c r="L205" i="19"/>
  <c r="L204" i="19"/>
  <c r="L202" i="19"/>
  <c r="L201" i="19"/>
  <c r="L200" i="19"/>
  <c r="L199" i="19"/>
  <c r="L197" i="19"/>
  <c r="L196" i="19"/>
  <c r="L195" i="19"/>
  <c r="L194" i="19"/>
  <c r="L192" i="19"/>
  <c r="L191" i="19"/>
  <c r="L189" i="19"/>
  <c r="L188" i="19"/>
  <c r="L186" i="19"/>
  <c r="L185" i="19"/>
  <c r="L184" i="19"/>
  <c r="L183" i="19"/>
  <c r="L181" i="19"/>
  <c r="L180" i="19"/>
  <c r="L179" i="19"/>
  <c r="AB179" i="19" s="1"/>
  <c r="L178" i="19"/>
  <c r="L176" i="19"/>
  <c r="L175" i="19"/>
  <c r="L173" i="19"/>
  <c r="AB173" i="19" s="1"/>
  <c r="L172" i="19"/>
  <c r="L170" i="19"/>
  <c r="L169" i="19"/>
  <c r="L168" i="19"/>
  <c r="L167" i="19"/>
  <c r="L165" i="19"/>
  <c r="L164" i="19"/>
  <c r="L163" i="19"/>
  <c r="AB163" i="19" s="1"/>
  <c r="L162" i="19"/>
  <c r="L160" i="19"/>
  <c r="L159" i="19"/>
  <c r="L157" i="19"/>
  <c r="AB157" i="19" s="1"/>
  <c r="L156" i="19"/>
  <c r="L154" i="19"/>
  <c r="L153" i="19"/>
  <c r="L152" i="19"/>
  <c r="AB152" i="19" s="1"/>
  <c r="L151" i="19"/>
  <c r="L149" i="19"/>
  <c r="L148" i="19"/>
  <c r="L147" i="19"/>
  <c r="AB147" i="19" s="1"/>
  <c r="L146" i="19"/>
  <c r="L144" i="19"/>
  <c r="L143" i="19"/>
  <c r="L139" i="19"/>
  <c r="AB139" i="19" s="1"/>
  <c r="L138" i="19"/>
  <c r="L136" i="19"/>
  <c r="L135" i="19"/>
  <c r="L134" i="19"/>
  <c r="AB134" i="19" s="1"/>
  <c r="L133" i="19"/>
  <c r="L131" i="19"/>
  <c r="L130" i="19"/>
  <c r="L129" i="19"/>
  <c r="AB129" i="19" s="1"/>
  <c r="L128" i="19"/>
  <c r="L126" i="19"/>
  <c r="L125" i="19"/>
  <c r="L123" i="19"/>
  <c r="AB123" i="19" s="1"/>
  <c r="L122" i="19"/>
  <c r="L120" i="19"/>
  <c r="L119" i="19"/>
  <c r="L118" i="19"/>
  <c r="AB118" i="19" s="1"/>
  <c r="L117" i="19"/>
  <c r="L115" i="19"/>
  <c r="L114" i="19"/>
  <c r="L113" i="19"/>
  <c r="AB113" i="19" s="1"/>
  <c r="L112" i="19"/>
  <c r="L110" i="19"/>
  <c r="L109" i="19"/>
  <c r="L107" i="19"/>
  <c r="AB107" i="19" s="1"/>
  <c r="L106" i="19"/>
  <c r="L104" i="19"/>
  <c r="L103" i="19"/>
  <c r="L102" i="19"/>
  <c r="AB102" i="19" s="1"/>
  <c r="L101" i="19"/>
  <c r="L99" i="19"/>
  <c r="L98" i="19"/>
  <c r="L97" i="19"/>
  <c r="L96" i="19"/>
  <c r="L94" i="19"/>
  <c r="L93" i="19"/>
  <c r="L91" i="19"/>
  <c r="L90" i="19"/>
  <c r="L88" i="19"/>
  <c r="L87" i="19"/>
  <c r="L86" i="19"/>
  <c r="AB86" i="19" s="1"/>
  <c r="L85" i="19"/>
  <c r="L83" i="19"/>
  <c r="L82" i="19"/>
  <c r="L81" i="19"/>
  <c r="L80" i="19"/>
  <c r="L78" i="19"/>
  <c r="L77" i="19"/>
  <c r="L70" i="19"/>
  <c r="L69" i="19"/>
  <c r="L65" i="19"/>
  <c r="L64" i="19"/>
  <c r="L60" i="19"/>
  <c r="L59" i="19"/>
  <c r="L56" i="19"/>
  <c r="AB56" i="19" s="1"/>
  <c r="L54" i="19"/>
  <c r="L53" i="19"/>
  <c r="L51" i="19"/>
  <c r="L49" i="19"/>
  <c r="L48" i="19"/>
  <c r="L47" i="19"/>
  <c r="AB47" i="19" s="1"/>
  <c r="L46" i="19"/>
  <c r="L44" i="19"/>
  <c r="L43" i="19"/>
  <c r="L41" i="19"/>
  <c r="L40" i="19"/>
  <c r="L38" i="19"/>
  <c r="L37" i="19"/>
  <c r="L36" i="19"/>
  <c r="L35" i="19"/>
  <c r="L33" i="19"/>
  <c r="L32" i="19"/>
  <c r="L31" i="19"/>
  <c r="L30" i="19"/>
  <c r="L28" i="19"/>
  <c r="L27" i="19"/>
  <c r="AB41" i="19"/>
  <c r="AB36" i="19"/>
  <c r="AB31" i="19"/>
  <c r="L25" i="19"/>
  <c r="L24" i="19"/>
  <c r="L22" i="19"/>
  <c r="L21" i="19"/>
  <c r="L20" i="19"/>
  <c r="L19" i="19"/>
  <c r="L15" i="19"/>
  <c r="L16" i="19"/>
  <c r="L17" i="19"/>
  <c r="L14" i="19"/>
  <c r="L12" i="19"/>
  <c r="L11" i="19"/>
  <c r="AF56" i="19"/>
  <c r="AB205" i="19"/>
  <c r="K204" i="19"/>
  <c r="K205" i="19" s="1"/>
  <c r="K201" i="19"/>
  <c r="K202" i="19" s="1"/>
  <c r="AC200" i="19"/>
  <c r="AB200" i="19"/>
  <c r="AE200" i="19" s="1"/>
  <c r="K199" i="19"/>
  <c r="K200" i="19" s="1"/>
  <c r="K196" i="19"/>
  <c r="K197" i="19" s="1"/>
  <c r="AB195" i="19"/>
  <c r="K194" i="19"/>
  <c r="K195" i="19" s="1"/>
  <c r="K191" i="19"/>
  <c r="K192" i="19" s="1"/>
  <c r="AB189" i="19"/>
  <c r="K188" i="19"/>
  <c r="K189" i="19" s="1"/>
  <c r="K185" i="19"/>
  <c r="K186" i="19" s="1"/>
  <c r="AC184" i="19"/>
  <c r="AB184" i="19"/>
  <c r="K183" i="19"/>
  <c r="K184" i="19" s="1"/>
  <c r="K180" i="19"/>
  <c r="K181" i="19" s="1"/>
  <c r="AC179" i="19"/>
  <c r="K178" i="19"/>
  <c r="K179" i="19" s="1"/>
  <c r="K175" i="19"/>
  <c r="K176" i="19" s="1"/>
  <c r="K172" i="19"/>
  <c r="K173" i="19" s="1"/>
  <c r="K169" i="19"/>
  <c r="K170" i="19" s="1"/>
  <c r="K167" i="19"/>
  <c r="K168" i="19" s="1"/>
  <c r="O168" i="19" s="1"/>
  <c r="K164" i="19"/>
  <c r="K165" i="19" s="1"/>
  <c r="K162" i="19"/>
  <c r="K163" i="19" s="1"/>
  <c r="K159" i="19"/>
  <c r="K160" i="19" s="1"/>
  <c r="K156" i="19"/>
  <c r="K157" i="19" s="1"/>
  <c r="K153" i="19"/>
  <c r="K154" i="19" s="1"/>
  <c r="K151" i="19"/>
  <c r="K152" i="19" s="1"/>
  <c r="K148" i="19"/>
  <c r="K149" i="19" s="1"/>
  <c r="K146" i="19"/>
  <c r="K147" i="19" s="1"/>
  <c r="K143" i="19"/>
  <c r="K144" i="19" s="1"/>
  <c r="K138" i="19"/>
  <c r="K139" i="19" s="1"/>
  <c r="K135" i="19"/>
  <c r="K136" i="19" s="1"/>
  <c r="K133" i="19"/>
  <c r="K134" i="19" s="1"/>
  <c r="K130" i="19"/>
  <c r="K131" i="19" s="1"/>
  <c r="K128" i="19"/>
  <c r="K129" i="19" s="1"/>
  <c r="K125" i="19"/>
  <c r="K126" i="19" s="1"/>
  <c r="K122" i="19"/>
  <c r="K123" i="19" s="1"/>
  <c r="K119" i="19"/>
  <c r="K120" i="19" s="1"/>
  <c r="K117" i="19"/>
  <c r="K118" i="19" s="1"/>
  <c r="K114" i="19"/>
  <c r="K115" i="19" s="1"/>
  <c r="K112" i="19"/>
  <c r="K113" i="19" s="1"/>
  <c r="K109" i="19"/>
  <c r="K110" i="19" s="1"/>
  <c r="K106" i="19"/>
  <c r="K107" i="19" s="1"/>
  <c r="K103" i="19"/>
  <c r="K101" i="19"/>
  <c r="K102" i="19" s="1"/>
  <c r="K98" i="19"/>
  <c r="K99" i="19" s="1"/>
  <c r="K96" i="19"/>
  <c r="K97" i="19" s="1"/>
  <c r="K93" i="19"/>
  <c r="K94" i="19" s="1"/>
  <c r="O94" i="19" s="1"/>
  <c r="K90" i="19"/>
  <c r="K91" i="19" s="1"/>
  <c r="K87" i="19"/>
  <c r="K88" i="19" s="1"/>
  <c r="K85" i="19"/>
  <c r="K86" i="19" s="1"/>
  <c r="K82" i="19"/>
  <c r="K83" i="19" s="1"/>
  <c r="K80" i="19"/>
  <c r="K77" i="19"/>
  <c r="K78" i="19" s="1"/>
  <c r="K56" i="19"/>
  <c r="K53" i="19"/>
  <c r="K54" i="19" s="1"/>
  <c r="K51" i="19"/>
  <c r="K48" i="19"/>
  <c r="K49" i="19" s="1"/>
  <c r="K46" i="19"/>
  <c r="K47" i="19" s="1"/>
  <c r="K43" i="19"/>
  <c r="K44" i="19" s="1"/>
  <c r="K40" i="19"/>
  <c r="K41" i="19" s="1"/>
  <c r="K37" i="19"/>
  <c r="K38" i="19" s="1"/>
  <c r="K35" i="19"/>
  <c r="K36" i="19" s="1"/>
  <c r="K32" i="19"/>
  <c r="K33" i="19" s="1"/>
  <c r="K30" i="19"/>
  <c r="K31" i="19" s="1"/>
  <c r="K27" i="19"/>
  <c r="K28" i="19" s="1"/>
  <c r="K24" i="19"/>
  <c r="K25" i="19" s="1"/>
  <c r="K21" i="19"/>
  <c r="K19" i="19"/>
  <c r="K20" i="19" s="1"/>
  <c r="K16" i="19"/>
  <c r="K17" i="19" s="1"/>
  <c r="K14" i="19"/>
  <c r="K15" i="19" s="1"/>
  <c r="O15" i="19" s="1"/>
  <c r="K11" i="19"/>
  <c r="K12" i="19" s="1"/>
  <c r="M87" i="17"/>
  <c r="J87" i="17"/>
  <c r="M86" i="17"/>
  <c r="L86" i="17"/>
  <c r="L87" i="17" s="1"/>
  <c r="J86" i="17"/>
  <c r="I86" i="17"/>
  <c r="I87" i="17" s="1"/>
  <c r="M85" i="17"/>
  <c r="J85" i="17"/>
  <c r="O84" i="17"/>
  <c r="M84" i="17"/>
  <c r="J84" i="17"/>
  <c r="N84" i="17" s="1"/>
  <c r="P84" i="17" s="1"/>
  <c r="M83" i="17"/>
  <c r="J83" i="17"/>
  <c r="M82" i="17"/>
  <c r="J82" i="17"/>
  <c r="M81" i="17"/>
  <c r="L81" i="17"/>
  <c r="L82" i="17" s="1"/>
  <c r="L83" i="17" s="1"/>
  <c r="L84" i="17" s="1"/>
  <c r="L85" i="17" s="1"/>
  <c r="J81" i="17"/>
  <c r="I81" i="17"/>
  <c r="I82" i="17" s="1"/>
  <c r="I83" i="17" s="1"/>
  <c r="I84" i="17" s="1"/>
  <c r="I85" i="17" s="1"/>
  <c r="M80" i="17"/>
  <c r="J80" i="17"/>
  <c r="M79" i="17"/>
  <c r="J79" i="17"/>
  <c r="M78" i="17"/>
  <c r="L78" i="17"/>
  <c r="L79" i="17" s="1"/>
  <c r="J78" i="17"/>
  <c r="I78" i="17"/>
  <c r="I79" i="17" s="1"/>
  <c r="M77" i="17"/>
  <c r="J77" i="17"/>
  <c r="M76" i="17"/>
  <c r="J76" i="17"/>
  <c r="M75" i="17"/>
  <c r="J75" i="17"/>
  <c r="M74" i="17"/>
  <c r="J74" i="17"/>
  <c r="M73" i="17"/>
  <c r="L73" i="17"/>
  <c r="L74" i="17" s="1"/>
  <c r="L75" i="17" s="1"/>
  <c r="L76" i="17" s="1"/>
  <c r="L77" i="17" s="1"/>
  <c r="J73" i="17"/>
  <c r="I73" i="17"/>
  <c r="I74" i="17" s="1"/>
  <c r="I75" i="17" s="1"/>
  <c r="I76" i="17" s="1"/>
  <c r="I77" i="17" s="1"/>
  <c r="M72" i="17"/>
  <c r="J72" i="17"/>
  <c r="M71" i="17"/>
  <c r="J71" i="17"/>
  <c r="M70" i="17"/>
  <c r="L70" i="17"/>
  <c r="L71" i="17" s="1"/>
  <c r="J70" i="17"/>
  <c r="I70" i="17"/>
  <c r="I71" i="17" s="1"/>
  <c r="M69" i="17"/>
  <c r="J69" i="17"/>
  <c r="M68" i="17"/>
  <c r="J68" i="17"/>
  <c r="M67" i="17"/>
  <c r="J67" i="17"/>
  <c r="M66" i="17"/>
  <c r="J66" i="17"/>
  <c r="M65" i="17"/>
  <c r="L65" i="17"/>
  <c r="L66" i="17" s="1"/>
  <c r="L67" i="17" s="1"/>
  <c r="L68" i="17" s="1"/>
  <c r="L69" i="17" s="1"/>
  <c r="J65" i="17"/>
  <c r="I65" i="17"/>
  <c r="I66" i="17" s="1"/>
  <c r="I67" i="17" s="1"/>
  <c r="I68" i="17" s="1"/>
  <c r="I69" i="17" s="1"/>
  <c r="M64" i="17"/>
  <c r="J64" i="17"/>
  <c r="M60" i="17"/>
  <c r="J60" i="17"/>
  <c r="M59" i="17"/>
  <c r="L59" i="17"/>
  <c r="L60" i="17" s="1"/>
  <c r="J59" i="17"/>
  <c r="I59" i="17"/>
  <c r="I60" i="17" s="1"/>
  <c r="M58" i="17"/>
  <c r="J58" i="17"/>
  <c r="M57" i="17"/>
  <c r="J57" i="17"/>
  <c r="M56" i="17"/>
  <c r="J56" i="17"/>
  <c r="M55" i="17"/>
  <c r="J55" i="17"/>
  <c r="M54" i="17"/>
  <c r="L54" i="17"/>
  <c r="L55" i="17" s="1"/>
  <c r="L56" i="17" s="1"/>
  <c r="L57" i="17" s="1"/>
  <c r="L58" i="17" s="1"/>
  <c r="J54" i="17"/>
  <c r="I54" i="17"/>
  <c r="I55" i="17" s="1"/>
  <c r="I56" i="17" s="1"/>
  <c r="I57" i="17" s="1"/>
  <c r="I58" i="17" s="1"/>
  <c r="M53" i="17"/>
  <c r="J53" i="17"/>
  <c r="M52" i="17"/>
  <c r="J52" i="17"/>
  <c r="M51" i="17"/>
  <c r="L51" i="17"/>
  <c r="L52" i="17" s="1"/>
  <c r="J51" i="17"/>
  <c r="I51" i="17"/>
  <c r="I52" i="17" s="1"/>
  <c r="M50" i="17"/>
  <c r="J50" i="17"/>
  <c r="M49" i="17"/>
  <c r="J49" i="17"/>
  <c r="O48" i="17"/>
  <c r="M48" i="17"/>
  <c r="J48" i="17"/>
  <c r="N48" i="17" s="1"/>
  <c r="P48" i="17" s="1"/>
  <c r="M47" i="17"/>
  <c r="J47" i="17"/>
  <c r="M46" i="17"/>
  <c r="L46" i="17"/>
  <c r="L47" i="17" s="1"/>
  <c r="L48" i="17" s="1"/>
  <c r="L49" i="17" s="1"/>
  <c r="L50" i="17" s="1"/>
  <c r="J46" i="17"/>
  <c r="I46" i="17"/>
  <c r="I47" i="17" s="1"/>
  <c r="I48" i="17" s="1"/>
  <c r="I49" i="17" s="1"/>
  <c r="I50" i="17" s="1"/>
  <c r="M45" i="17"/>
  <c r="J45" i="17"/>
  <c r="M44" i="17"/>
  <c r="J44" i="17"/>
  <c r="M43" i="17"/>
  <c r="L43" i="17"/>
  <c r="L44" i="17" s="1"/>
  <c r="J43" i="17"/>
  <c r="I43" i="17"/>
  <c r="I44" i="17" s="1"/>
  <c r="M42" i="17"/>
  <c r="J42" i="17"/>
  <c r="M41" i="17"/>
  <c r="J41" i="17"/>
  <c r="M40" i="17"/>
  <c r="J40" i="17"/>
  <c r="M39" i="17"/>
  <c r="J39" i="17"/>
  <c r="M38" i="17"/>
  <c r="L38" i="17"/>
  <c r="L39" i="17" s="1"/>
  <c r="L40" i="17" s="1"/>
  <c r="L41" i="17" s="1"/>
  <c r="L42" i="17" s="1"/>
  <c r="J38" i="17"/>
  <c r="I38" i="17"/>
  <c r="I39" i="17" s="1"/>
  <c r="I40" i="17" s="1"/>
  <c r="I41" i="17" s="1"/>
  <c r="I42" i="17" s="1"/>
  <c r="M37" i="17"/>
  <c r="J37" i="17"/>
  <c r="M33" i="17"/>
  <c r="J33" i="17"/>
  <c r="M32" i="17"/>
  <c r="L32" i="17"/>
  <c r="L33" i="17" s="1"/>
  <c r="J32" i="17"/>
  <c r="I32" i="17"/>
  <c r="I33" i="17" s="1"/>
  <c r="M31" i="17"/>
  <c r="J31" i="17"/>
  <c r="M30" i="17"/>
  <c r="J30" i="17"/>
  <c r="M29" i="17"/>
  <c r="J29" i="17"/>
  <c r="M28" i="17"/>
  <c r="J28" i="17"/>
  <c r="M27" i="17"/>
  <c r="L27" i="17"/>
  <c r="L28" i="17" s="1"/>
  <c r="L29" i="17" s="1"/>
  <c r="L30" i="17" s="1"/>
  <c r="L31" i="17" s="1"/>
  <c r="J27" i="17"/>
  <c r="I27" i="17"/>
  <c r="I28" i="17" s="1"/>
  <c r="I29" i="17" s="1"/>
  <c r="I30" i="17" s="1"/>
  <c r="I31" i="17" s="1"/>
  <c r="M26" i="17"/>
  <c r="J26" i="17"/>
  <c r="M25" i="17"/>
  <c r="J25" i="17"/>
  <c r="M24" i="17"/>
  <c r="L24" i="17"/>
  <c r="L25" i="17" s="1"/>
  <c r="J24" i="17"/>
  <c r="I24" i="17"/>
  <c r="I25" i="17" s="1"/>
  <c r="M23" i="17"/>
  <c r="J23" i="17"/>
  <c r="M22" i="17"/>
  <c r="J22" i="17"/>
  <c r="M21" i="17"/>
  <c r="J21" i="17"/>
  <c r="M20" i="17"/>
  <c r="J20" i="17"/>
  <c r="M19" i="17"/>
  <c r="L19" i="17"/>
  <c r="L20" i="17" s="1"/>
  <c r="L21" i="17" s="1"/>
  <c r="L22" i="17" s="1"/>
  <c r="L23" i="17" s="1"/>
  <c r="J19" i="17"/>
  <c r="I19" i="17"/>
  <c r="I20" i="17" s="1"/>
  <c r="I21" i="17" s="1"/>
  <c r="I22" i="17" s="1"/>
  <c r="I23" i="17" s="1"/>
  <c r="M18" i="17"/>
  <c r="J18" i="17"/>
  <c r="M17" i="17"/>
  <c r="J17" i="17"/>
  <c r="M16" i="17"/>
  <c r="L16" i="17"/>
  <c r="L17" i="17" s="1"/>
  <c r="J16" i="17"/>
  <c r="I16" i="17"/>
  <c r="I17" i="17" s="1"/>
  <c r="M15" i="17"/>
  <c r="J15" i="17"/>
  <c r="O14" i="17"/>
  <c r="M14" i="17"/>
  <c r="J14" i="17"/>
  <c r="N14" i="17" s="1"/>
  <c r="P14" i="17" s="1"/>
  <c r="M13" i="17"/>
  <c r="J13" i="17"/>
  <c r="M12" i="17"/>
  <c r="J12" i="17"/>
  <c r="N11" i="17"/>
  <c r="P11" i="17" s="1"/>
  <c r="M11" i="17"/>
  <c r="L11" i="17"/>
  <c r="L12" i="17" s="1"/>
  <c r="L13" i="17" s="1"/>
  <c r="L14" i="17" s="1"/>
  <c r="L15" i="17" s="1"/>
  <c r="J11" i="17"/>
  <c r="O11" i="17" s="1"/>
  <c r="I11" i="17"/>
  <c r="I12" i="17" s="1"/>
  <c r="I13" i="17" s="1"/>
  <c r="I14" i="17" s="1"/>
  <c r="I15" i="17" s="1"/>
  <c r="M10" i="17"/>
  <c r="J10" i="17"/>
  <c r="M87" i="16"/>
  <c r="J87" i="16"/>
  <c r="M86" i="16"/>
  <c r="L86" i="16"/>
  <c r="L87" i="16" s="1"/>
  <c r="J86" i="16"/>
  <c r="I86" i="16"/>
  <c r="I87" i="16" s="1"/>
  <c r="M85" i="16"/>
  <c r="J85" i="16"/>
  <c r="M84" i="16"/>
  <c r="J84" i="16"/>
  <c r="M83" i="16"/>
  <c r="J83" i="16"/>
  <c r="N82" i="16"/>
  <c r="P82" i="16" s="1"/>
  <c r="M82" i="16"/>
  <c r="J82" i="16"/>
  <c r="O82" i="16" s="1"/>
  <c r="M81" i="16"/>
  <c r="L81" i="16"/>
  <c r="L82" i="16" s="1"/>
  <c r="L83" i="16" s="1"/>
  <c r="L84" i="16" s="1"/>
  <c r="L85" i="16" s="1"/>
  <c r="J81" i="16"/>
  <c r="I81" i="16"/>
  <c r="I82" i="16" s="1"/>
  <c r="I83" i="16" s="1"/>
  <c r="I84" i="16" s="1"/>
  <c r="I85" i="16" s="1"/>
  <c r="M80" i="16"/>
  <c r="J80" i="16"/>
  <c r="M79" i="16"/>
  <c r="J79" i="16"/>
  <c r="M78" i="16"/>
  <c r="L78" i="16"/>
  <c r="L79" i="16" s="1"/>
  <c r="J78" i="16"/>
  <c r="I78" i="16"/>
  <c r="I79" i="16" s="1"/>
  <c r="M77" i="16"/>
  <c r="J77" i="16"/>
  <c r="M76" i="16"/>
  <c r="J76" i="16"/>
  <c r="M75" i="16"/>
  <c r="J75" i="16"/>
  <c r="M74" i="16"/>
  <c r="J74" i="16"/>
  <c r="M73" i="16"/>
  <c r="L73" i="16"/>
  <c r="L74" i="16" s="1"/>
  <c r="L75" i="16" s="1"/>
  <c r="L76" i="16" s="1"/>
  <c r="L77" i="16" s="1"/>
  <c r="J73" i="16"/>
  <c r="I73" i="16"/>
  <c r="I74" i="16" s="1"/>
  <c r="I75" i="16" s="1"/>
  <c r="I76" i="16" s="1"/>
  <c r="I77" i="16" s="1"/>
  <c r="M72" i="16"/>
  <c r="J72" i="16"/>
  <c r="M71" i="16"/>
  <c r="J71" i="16"/>
  <c r="M70" i="16"/>
  <c r="L70" i="16"/>
  <c r="L71" i="16" s="1"/>
  <c r="J70" i="16"/>
  <c r="I70" i="16"/>
  <c r="I71" i="16" s="1"/>
  <c r="M69" i="16"/>
  <c r="J69" i="16"/>
  <c r="M68" i="16"/>
  <c r="J68" i="16"/>
  <c r="M67" i="16"/>
  <c r="J67" i="16"/>
  <c r="M66" i="16"/>
  <c r="J66" i="16"/>
  <c r="M65" i="16"/>
  <c r="L65" i="16"/>
  <c r="L66" i="16" s="1"/>
  <c r="L67" i="16" s="1"/>
  <c r="L68" i="16" s="1"/>
  <c r="L69" i="16" s="1"/>
  <c r="J65" i="16"/>
  <c r="I65" i="16"/>
  <c r="I66" i="16" s="1"/>
  <c r="I67" i="16" s="1"/>
  <c r="I68" i="16" s="1"/>
  <c r="I69" i="16" s="1"/>
  <c r="M64" i="16"/>
  <c r="J64" i="16"/>
  <c r="M60" i="16"/>
  <c r="J60" i="16"/>
  <c r="M59" i="16"/>
  <c r="L59" i="16"/>
  <c r="L60" i="16" s="1"/>
  <c r="J59" i="16"/>
  <c r="I59" i="16"/>
  <c r="I60" i="16" s="1"/>
  <c r="M58" i="16"/>
  <c r="J58" i="16"/>
  <c r="M57" i="16"/>
  <c r="J57" i="16"/>
  <c r="M56" i="16"/>
  <c r="J56" i="16"/>
  <c r="M55" i="16"/>
  <c r="J55" i="16"/>
  <c r="M54" i="16"/>
  <c r="L54" i="16"/>
  <c r="L55" i="16" s="1"/>
  <c r="L56" i="16" s="1"/>
  <c r="L57" i="16" s="1"/>
  <c r="L58" i="16" s="1"/>
  <c r="J54" i="16"/>
  <c r="I54" i="16"/>
  <c r="I55" i="16" s="1"/>
  <c r="I56" i="16" s="1"/>
  <c r="I57" i="16" s="1"/>
  <c r="I58" i="16" s="1"/>
  <c r="M53" i="16"/>
  <c r="J53" i="16"/>
  <c r="M52" i="16"/>
  <c r="J52" i="16"/>
  <c r="M51" i="16"/>
  <c r="L51" i="16"/>
  <c r="L52" i="16" s="1"/>
  <c r="J51" i="16"/>
  <c r="I51" i="16"/>
  <c r="I52" i="16" s="1"/>
  <c r="M50" i="16"/>
  <c r="J50" i="16"/>
  <c r="M49" i="16"/>
  <c r="J49" i="16"/>
  <c r="M48" i="16"/>
  <c r="J48" i="16"/>
  <c r="M47" i="16"/>
  <c r="J47" i="16"/>
  <c r="M46" i="16"/>
  <c r="L46" i="16"/>
  <c r="L47" i="16" s="1"/>
  <c r="L48" i="16" s="1"/>
  <c r="L49" i="16" s="1"/>
  <c r="L50" i="16" s="1"/>
  <c r="J46" i="16"/>
  <c r="I46" i="16"/>
  <c r="I47" i="16" s="1"/>
  <c r="I48" i="16" s="1"/>
  <c r="I49" i="16" s="1"/>
  <c r="I50" i="16" s="1"/>
  <c r="M45" i="16"/>
  <c r="J45" i="16"/>
  <c r="M44" i="16"/>
  <c r="J44" i="16"/>
  <c r="M43" i="16"/>
  <c r="L43" i="16"/>
  <c r="L44" i="16" s="1"/>
  <c r="J43" i="16"/>
  <c r="I43" i="16"/>
  <c r="I44" i="16" s="1"/>
  <c r="M42" i="16"/>
  <c r="J42" i="16"/>
  <c r="M41" i="16"/>
  <c r="J41" i="16"/>
  <c r="M40" i="16"/>
  <c r="J40" i="16"/>
  <c r="M39" i="16"/>
  <c r="J39" i="16"/>
  <c r="M38" i="16"/>
  <c r="L38" i="16"/>
  <c r="L39" i="16" s="1"/>
  <c r="L40" i="16" s="1"/>
  <c r="L41" i="16" s="1"/>
  <c r="L42" i="16" s="1"/>
  <c r="J38" i="16"/>
  <c r="I38" i="16"/>
  <c r="I39" i="16" s="1"/>
  <c r="I40" i="16" s="1"/>
  <c r="I41" i="16" s="1"/>
  <c r="I42" i="16" s="1"/>
  <c r="M37" i="16"/>
  <c r="J37" i="16"/>
  <c r="M33" i="16"/>
  <c r="J33" i="16"/>
  <c r="M32" i="16"/>
  <c r="L32" i="16"/>
  <c r="L33" i="16" s="1"/>
  <c r="J32" i="16"/>
  <c r="I32" i="16"/>
  <c r="I33" i="16" s="1"/>
  <c r="M31" i="16"/>
  <c r="J31" i="16"/>
  <c r="M30" i="16"/>
  <c r="J30" i="16"/>
  <c r="M29" i="16"/>
  <c r="J29" i="16"/>
  <c r="M28" i="16"/>
  <c r="J28" i="16"/>
  <c r="M27" i="16"/>
  <c r="L27" i="16"/>
  <c r="L28" i="16" s="1"/>
  <c r="L29" i="16" s="1"/>
  <c r="L30" i="16" s="1"/>
  <c r="L31" i="16" s="1"/>
  <c r="J27" i="16"/>
  <c r="I27" i="16"/>
  <c r="I28" i="16" s="1"/>
  <c r="I29" i="16" s="1"/>
  <c r="I30" i="16" s="1"/>
  <c r="I31" i="16" s="1"/>
  <c r="M26" i="16"/>
  <c r="J26" i="16"/>
  <c r="M25" i="16"/>
  <c r="J25" i="16"/>
  <c r="N24" i="16"/>
  <c r="M24" i="16"/>
  <c r="L24" i="16"/>
  <c r="L25" i="16" s="1"/>
  <c r="J24" i="16"/>
  <c r="I24" i="16"/>
  <c r="I25" i="16" s="1"/>
  <c r="M23" i="16"/>
  <c r="J23" i="16"/>
  <c r="M22" i="16"/>
  <c r="J22" i="16"/>
  <c r="M21" i="16"/>
  <c r="J21" i="16"/>
  <c r="M20" i="16"/>
  <c r="J20" i="16"/>
  <c r="M19" i="16"/>
  <c r="L19" i="16"/>
  <c r="L20" i="16" s="1"/>
  <c r="L21" i="16" s="1"/>
  <c r="L22" i="16" s="1"/>
  <c r="L23" i="16" s="1"/>
  <c r="J19" i="16"/>
  <c r="I19" i="16"/>
  <c r="I20" i="16" s="1"/>
  <c r="I21" i="16" s="1"/>
  <c r="I22" i="16" s="1"/>
  <c r="I23" i="16" s="1"/>
  <c r="M18" i="16"/>
  <c r="J18" i="16"/>
  <c r="M17" i="16"/>
  <c r="J17" i="16"/>
  <c r="M16" i="16"/>
  <c r="L16" i="16"/>
  <c r="L17" i="16" s="1"/>
  <c r="J16" i="16"/>
  <c r="I16" i="16"/>
  <c r="I17" i="16" s="1"/>
  <c r="M15" i="16"/>
  <c r="J15" i="16"/>
  <c r="M14" i="16"/>
  <c r="J14" i="16"/>
  <c r="O13" i="16"/>
  <c r="M13" i="16"/>
  <c r="J13" i="16"/>
  <c r="N13" i="16" s="1"/>
  <c r="P13" i="16" s="1"/>
  <c r="M12" i="16"/>
  <c r="J12" i="16"/>
  <c r="M11" i="16"/>
  <c r="L11" i="16"/>
  <c r="L12" i="16" s="1"/>
  <c r="L13" i="16" s="1"/>
  <c r="L14" i="16" s="1"/>
  <c r="L15" i="16" s="1"/>
  <c r="J11" i="16"/>
  <c r="I11" i="16"/>
  <c r="I12" i="16" s="1"/>
  <c r="I13" i="16" s="1"/>
  <c r="I14" i="16" s="1"/>
  <c r="I15" i="16" s="1"/>
  <c r="M10" i="16"/>
  <c r="J10" i="16"/>
  <c r="M87" i="15"/>
  <c r="J87" i="15"/>
  <c r="M86" i="15"/>
  <c r="L86" i="15"/>
  <c r="L87" i="15" s="1"/>
  <c r="J86" i="15"/>
  <c r="I86" i="15"/>
  <c r="I87" i="15" s="1"/>
  <c r="N85" i="15"/>
  <c r="P85" i="15" s="1"/>
  <c r="M85" i="15"/>
  <c r="J85" i="15"/>
  <c r="O85" i="15" s="1"/>
  <c r="M84" i="15"/>
  <c r="J84" i="15"/>
  <c r="M83" i="15"/>
  <c r="J83" i="15"/>
  <c r="M82" i="15"/>
  <c r="J82" i="15"/>
  <c r="M81" i="15"/>
  <c r="L81" i="15"/>
  <c r="L82" i="15" s="1"/>
  <c r="L83" i="15" s="1"/>
  <c r="L84" i="15" s="1"/>
  <c r="L85" i="15" s="1"/>
  <c r="J81" i="15"/>
  <c r="I81" i="15"/>
  <c r="I82" i="15" s="1"/>
  <c r="I83" i="15" s="1"/>
  <c r="I84" i="15" s="1"/>
  <c r="I85" i="15" s="1"/>
  <c r="M80" i="15"/>
  <c r="J80" i="15"/>
  <c r="M79" i="15"/>
  <c r="J79" i="15"/>
  <c r="M78" i="15"/>
  <c r="L78" i="15"/>
  <c r="L79" i="15" s="1"/>
  <c r="J78" i="15"/>
  <c r="I78" i="15"/>
  <c r="I79" i="15" s="1"/>
  <c r="N77" i="15"/>
  <c r="P77" i="15" s="1"/>
  <c r="M77" i="15"/>
  <c r="J77" i="15"/>
  <c r="O77" i="15" s="1"/>
  <c r="M76" i="15"/>
  <c r="J76" i="15"/>
  <c r="M75" i="15"/>
  <c r="J75" i="15"/>
  <c r="N74" i="15"/>
  <c r="P74" i="15" s="1"/>
  <c r="M74" i="15"/>
  <c r="J74" i="15"/>
  <c r="O74" i="15" s="1"/>
  <c r="M73" i="15"/>
  <c r="L73" i="15"/>
  <c r="L74" i="15" s="1"/>
  <c r="L75" i="15" s="1"/>
  <c r="L76" i="15" s="1"/>
  <c r="L77" i="15" s="1"/>
  <c r="J73" i="15"/>
  <c r="I73" i="15"/>
  <c r="I74" i="15" s="1"/>
  <c r="I75" i="15" s="1"/>
  <c r="I76" i="15" s="1"/>
  <c r="I77" i="15" s="1"/>
  <c r="M72" i="15"/>
  <c r="J72" i="15"/>
  <c r="M71" i="15"/>
  <c r="J71" i="15"/>
  <c r="M70" i="15"/>
  <c r="L70" i="15"/>
  <c r="L71" i="15" s="1"/>
  <c r="J70" i="15"/>
  <c r="I70" i="15"/>
  <c r="I71" i="15" s="1"/>
  <c r="M69" i="15"/>
  <c r="J69" i="15"/>
  <c r="M68" i="15"/>
  <c r="J68" i="15"/>
  <c r="M67" i="15"/>
  <c r="J67" i="15"/>
  <c r="M66" i="15"/>
  <c r="J66" i="15"/>
  <c r="M65" i="15"/>
  <c r="L65" i="15"/>
  <c r="L66" i="15" s="1"/>
  <c r="L67" i="15" s="1"/>
  <c r="L68" i="15" s="1"/>
  <c r="L69" i="15" s="1"/>
  <c r="J65" i="15"/>
  <c r="I65" i="15"/>
  <c r="I66" i="15" s="1"/>
  <c r="I67" i="15" s="1"/>
  <c r="I68" i="15" s="1"/>
  <c r="I69" i="15" s="1"/>
  <c r="M64" i="15"/>
  <c r="J64" i="15"/>
  <c r="M60" i="15"/>
  <c r="J60" i="15"/>
  <c r="M59" i="15"/>
  <c r="L59" i="15"/>
  <c r="L60" i="15" s="1"/>
  <c r="J59" i="15"/>
  <c r="I59" i="15"/>
  <c r="I60" i="15" s="1"/>
  <c r="M58" i="15"/>
  <c r="J58" i="15"/>
  <c r="M57" i="15"/>
  <c r="J57" i="15"/>
  <c r="M56" i="15"/>
  <c r="J56" i="15"/>
  <c r="M55" i="15"/>
  <c r="J55" i="15"/>
  <c r="M54" i="15"/>
  <c r="L54" i="15"/>
  <c r="L55" i="15" s="1"/>
  <c r="L56" i="15" s="1"/>
  <c r="L57" i="15" s="1"/>
  <c r="L58" i="15" s="1"/>
  <c r="J54" i="15"/>
  <c r="I54" i="15"/>
  <c r="I55" i="15" s="1"/>
  <c r="I56" i="15" s="1"/>
  <c r="I57" i="15" s="1"/>
  <c r="I58" i="15" s="1"/>
  <c r="M53" i="15"/>
  <c r="J53" i="15"/>
  <c r="M52" i="15"/>
  <c r="J52" i="15"/>
  <c r="M51" i="15"/>
  <c r="L51" i="15"/>
  <c r="L52" i="15" s="1"/>
  <c r="J51" i="15"/>
  <c r="I51" i="15"/>
  <c r="I52" i="15" s="1"/>
  <c r="M50" i="15"/>
  <c r="J50" i="15"/>
  <c r="M49" i="15"/>
  <c r="J49" i="15"/>
  <c r="M48" i="15"/>
  <c r="J48" i="15"/>
  <c r="M47" i="15"/>
  <c r="J47" i="15"/>
  <c r="M46" i="15"/>
  <c r="L46" i="15"/>
  <c r="L47" i="15" s="1"/>
  <c r="L48" i="15" s="1"/>
  <c r="L49" i="15" s="1"/>
  <c r="L50" i="15" s="1"/>
  <c r="J46" i="15"/>
  <c r="I46" i="15"/>
  <c r="I47" i="15" s="1"/>
  <c r="I48" i="15" s="1"/>
  <c r="I49" i="15" s="1"/>
  <c r="I50" i="15" s="1"/>
  <c r="M45" i="15"/>
  <c r="J45" i="15"/>
  <c r="M44" i="15"/>
  <c r="J44" i="15"/>
  <c r="M43" i="15"/>
  <c r="L43" i="15"/>
  <c r="L44" i="15" s="1"/>
  <c r="J43" i="15"/>
  <c r="I43" i="15"/>
  <c r="I44" i="15" s="1"/>
  <c r="M42" i="15"/>
  <c r="J42" i="15"/>
  <c r="M41" i="15"/>
  <c r="J41" i="15"/>
  <c r="N40" i="15"/>
  <c r="P40" i="15" s="1"/>
  <c r="M40" i="15"/>
  <c r="J40" i="15"/>
  <c r="O40" i="15" s="1"/>
  <c r="M39" i="15"/>
  <c r="J39" i="15"/>
  <c r="M38" i="15"/>
  <c r="L38" i="15"/>
  <c r="L39" i="15" s="1"/>
  <c r="L40" i="15" s="1"/>
  <c r="L41" i="15" s="1"/>
  <c r="L42" i="15" s="1"/>
  <c r="J38" i="15"/>
  <c r="I38" i="15"/>
  <c r="I39" i="15" s="1"/>
  <c r="I40" i="15" s="1"/>
  <c r="I41" i="15" s="1"/>
  <c r="I42" i="15" s="1"/>
  <c r="M37" i="15"/>
  <c r="J37" i="15"/>
  <c r="M33" i="15"/>
  <c r="J33" i="15"/>
  <c r="M32" i="15"/>
  <c r="L32" i="15"/>
  <c r="L33" i="15" s="1"/>
  <c r="J32" i="15"/>
  <c r="I32" i="15"/>
  <c r="I33" i="15" s="1"/>
  <c r="M31" i="15"/>
  <c r="J31" i="15"/>
  <c r="M30" i="15"/>
  <c r="J30" i="15"/>
  <c r="M29" i="15"/>
  <c r="J29" i="15"/>
  <c r="M28" i="15"/>
  <c r="J28" i="15"/>
  <c r="M27" i="15"/>
  <c r="L27" i="15"/>
  <c r="L28" i="15" s="1"/>
  <c r="L29" i="15" s="1"/>
  <c r="L30" i="15" s="1"/>
  <c r="L31" i="15" s="1"/>
  <c r="J27" i="15"/>
  <c r="I27" i="15"/>
  <c r="I28" i="15" s="1"/>
  <c r="I29" i="15" s="1"/>
  <c r="I30" i="15" s="1"/>
  <c r="I31" i="15" s="1"/>
  <c r="M26" i="15"/>
  <c r="J26" i="15"/>
  <c r="M25" i="15"/>
  <c r="J25" i="15"/>
  <c r="M24" i="15"/>
  <c r="L24" i="15"/>
  <c r="L25" i="15" s="1"/>
  <c r="J24" i="15"/>
  <c r="I24" i="15"/>
  <c r="I25" i="15" s="1"/>
  <c r="M23" i="15"/>
  <c r="J23" i="15"/>
  <c r="M22" i="15"/>
  <c r="J22" i="15"/>
  <c r="M21" i="15"/>
  <c r="J21" i="15"/>
  <c r="O20" i="15"/>
  <c r="M20" i="15"/>
  <c r="J20" i="15"/>
  <c r="N20" i="15" s="1"/>
  <c r="P20" i="15" s="1"/>
  <c r="M19" i="15"/>
  <c r="L19" i="15"/>
  <c r="L20" i="15" s="1"/>
  <c r="L21" i="15" s="1"/>
  <c r="L22" i="15" s="1"/>
  <c r="L23" i="15" s="1"/>
  <c r="J19" i="15"/>
  <c r="I19" i="15"/>
  <c r="I20" i="15" s="1"/>
  <c r="I21" i="15" s="1"/>
  <c r="I22" i="15" s="1"/>
  <c r="I23" i="15" s="1"/>
  <c r="M18" i="15"/>
  <c r="J18" i="15"/>
  <c r="M17" i="15"/>
  <c r="J17" i="15"/>
  <c r="M16" i="15"/>
  <c r="L16" i="15"/>
  <c r="L17" i="15" s="1"/>
  <c r="J16" i="15"/>
  <c r="I16" i="15"/>
  <c r="I17" i="15" s="1"/>
  <c r="M15" i="15"/>
  <c r="J15" i="15"/>
  <c r="M14" i="15"/>
  <c r="J14" i="15"/>
  <c r="M13" i="15"/>
  <c r="J13" i="15"/>
  <c r="M12" i="15"/>
  <c r="J12" i="15"/>
  <c r="M11" i="15"/>
  <c r="L11" i="15"/>
  <c r="L12" i="15" s="1"/>
  <c r="L13" i="15" s="1"/>
  <c r="L14" i="15" s="1"/>
  <c r="L15" i="15" s="1"/>
  <c r="J11" i="15"/>
  <c r="I11" i="15"/>
  <c r="I12" i="15" s="1"/>
  <c r="I13" i="15" s="1"/>
  <c r="I14" i="15" s="1"/>
  <c r="I15" i="15" s="1"/>
  <c r="M10" i="15"/>
  <c r="J10" i="15"/>
  <c r="M87" i="14"/>
  <c r="J87" i="14"/>
  <c r="M86" i="14"/>
  <c r="L86" i="14"/>
  <c r="L87" i="14" s="1"/>
  <c r="J86" i="14"/>
  <c r="I86" i="14"/>
  <c r="I87" i="14" s="1"/>
  <c r="O85" i="14"/>
  <c r="M85" i="14"/>
  <c r="J85" i="14"/>
  <c r="N85" i="14" s="1"/>
  <c r="P85" i="14" s="1"/>
  <c r="M84" i="14"/>
  <c r="J84" i="14"/>
  <c r="M83" i="14"/>
  <c r="J83" i="14"/>
  <c r="O82" i="14"/>
  <c r="M82" i="14"/>
  <c r="J82" i="14"/>
  <c r="N82" i="14" s="1"/>
  <c r="P82" i="14" s="1"/>
  <c r="M81" i="14"/>
  <c r="L81" i="14"/>
  <c r="L82" i="14" s="1"/>
  <c r="L83" i="14" s="1"/>
  <c r="L84" i="14" s="1"/>
  <c r="L85" i="14" s="1"/>
  <c r="J81" i="14"/>
  <c r="I81" i="14"/>
  <c r="I82" i="14" s="1"/>
  <c r="I83" i="14" s="1"/>
  <c r="I84" i="14" s="1"/>
  <c r="I85" i="14" s="1"/>
  <c r="M80" i="14"/>
  <c r="J80" i="14"/>
  <c r="M79" i="14"/>
  <c r="J79" i="14"/>
  <c r="M78" i="14"/>
  <c r="L78" i="14"/>
  <c r="L79" i="14" s="1"/>
  <c r="J78" i="14"/>
  <c r="I78" i="14"/>
  <c r="I79" i="14" s="1"/>
  <c r="M77" i="14"/>
  <c r="J77" i="14"/>
  <c r="M76" i="14"/>
  <c r="J76" i="14"/>
  <c r="M75" i="14"/>
  <c r="J75" i="14"/>
  <c r="M74" i="14"/>
  <c r="J74" i="14"/>
  <c r="M73" i="14"/>
  <c r="L73" i="14"/>
  <c r="L74" i="14" s="1"/>
  <c r="L75" i="14" s="1"/>
  <c r="L76" i="14" s="1"/>
  <c r="L77" i="14" s="1"/>
  <c r="J73" i="14"/>
  <c r="I73" i="14"/>
  <c r="I74" i="14" s="1"/>
  <c r="I75" i="14" s="1"/>
  <c r="I76" i="14" s="1"/>
  <c r="I77" i="14" s="1"/>
  <c r="M72" i="14"/>
  <c r="J72" i="14"/>
  <c r="M71" i="14"/>
  <c r="J71" i="14"/>
  <c r="M70" i="14"/>
  <c r="L70" i="14"/>
  <c r="L71" i="14" s="1"/>
  <c r="J70" i="14"/>
  <c r="I70" i="14"/>
  <c r="I71" i="14" s="1"/>
  <c r="M69" i="14"/>
  <c r="J69" i="14"/>
  <c r="M68" i="14"/>
  <c r="J68" i="14"/>
  <c r="M67" i="14"/>
  <c r="J67" i="14"/>
  <c r="M66" i="14"/>
  <c r="J66" i="14"/>
  <c r="M65" i="14"/>
  <c r="L65" i="14"/>
  <c r="L66" i="14" s="1"/>
  <c r="L67" i="14" s="1"/>
  <c r="L68" i="14" s="1"/>
  <c r="L69" i="14" s="1"/>
  <c r="J65" i="14"/>
  <c r="I65" i="14"/>
  <c r="I66" i="14" s="1"/>
  <c r="I67" i="14" s="1"/>
  <c r="I68" i="14" s="1"/>
  <c r="I69" i="14" s="1"/>
  <c r="M64" i="14"/>
  <c r="J64" i="14"/>
  <c r="M60" i="14"/>
  <c r="J60" i="14"/>
  <c r="M59" i="14"/>
  <c r="L59" i="14"/>
  <c r="L60" i="14" s="1"/>
  <c r="J59" i="14"/>
  <c r="I59" i="14"/>
  <c r="I60" i="14" s="1"/>
  <c r="M58" i="14"/>
  <c r="J58" i="14"/>
  <c r="M57" i="14"/>
  <c r="J57" i="14"/>
  <c r="M56" i="14"/>
  <c r="J56" i="14"/>
  <c r="M55" i="14"/>
  <c r="J55" i="14"/>
  <c r="M54" i="14"/>
  <c r="L54" i="14"/>
  <c r="L55" i="14" s="1"/>
  <c r="L56" i="14" s="1"/>
  <c r="L57" i="14" s="1"/>
  <c r="L58" i="14" s="1"/>
  <c r="J54" i="14"/>
  <c r="I54" i="14"/>
  <c r="I55" i="14" s="1"/>
  <c r="I56" i="14" s="1"/>
  <c r="I57" i="14" s="1"/>
  <c r="I58" i="14" s="1"/>
  <c r="M53" i="14"/>
  <c r="J53" i="14"/>
  <c r="M52" i="14"/>
  <c r="J52" i="14"/>
  <c r="M51" i="14"/>
  <c r="L51" i="14"/>
  <c r="L52" i="14" s="1"/>
  <c r="J51" i="14"/>
  <c r="I51" i="14"/>
  <c r="I52" i="14" s="1"/>
  <c r="M50" i="14"/>
  <c r="J50" i="14"/>
  <c r="M49" i="14"/>
  <c r="J49" i="14"/>
  <c r="M48" i="14"/>
  <c r="J48" i="14"/>
  <c r="M47" i="14"/>
  <c r="J47" i="14"/>
  <c r="M46" i="14"/>
  <c r="L46" i="14"/>
  <c r="L47" i="14" s="1"/>
  <c r="L48" i="14" s="1"/>
  <c r="L49" i="14" s="1"/>
  <c r="L50" i="14" s="1"/>
  <c r="J46" i="14"/>
  <c r="I46" i="14"/>
  <c r="I47" i="14" s="1"/>
  <c r="I48" i="14" s="1"/>
  <c r="I49" i="14" s="1"/>
  <c r="I50" i="14" s="1"/>
  <c r="M45" i="14"/>
  <c r="J45" i="14"/>
  <c r="M44" i="14"/>
  <c r="J44" i="14"/>
  <c r="M43" i="14"/>
  <c r="L43" i="14"/>
  <c r="L44" i="14" s="1"/>
  <c r="J43" i="14"/>
  <c r="I43" i="14"/>
  <c r="I44" i="14" s="1"/>
  <c r="M42" i="14"/>
  <c r="J42" i="14"/>
  <c r="M41" i="14"/>
  <c r="J41" i="14"/>
  <c r="M40" i="14"/>
  <c r="J40" i="14"/>
  <c r="M39" i="14"/>
  <c r="J39" i="14"/>
  <c r="M38" i="14"/>
  <c r="L38" i="14"/>
  <c r="L39" i="14" s="1"/>
  <c r="L40" i="14" s="1"/>
  <c r="L41" i="14" s="1"/>
  <c r="L42" i="14" s="1"/>
  <c r="J38" i="14"/>
  <c r="I38" i="14"/>
  <c r="I39" i="14" s="1"/>
  <c r="I40" i="14" s="1"/>
  <c r="I41" i="14" s="1"/>
  <c r="I42" i="14" s="1"/>
  <c r="M37" i="14"/>
  <c r="J37" i="14"/>
  <c r="M33" i="14"/>
  <c r="J33" i="14"/>
  <c r="M32" i="14"/>
  <c r="L32" i="14"/>
  <c r="L33" i="14" s="1"/>
  <c r="J32" i="14"/>
  <c r="I32" i="14"/>
  <c r="I33" i="14" s="1"/>
  <c r="M31" i="14"/>
  <c r="J31" i="14"/>
  <c r="M30" i="14"/>
  <c r="J30" i="14"/>
  <c r="M29" i="14"/>
  <c r="J29" i="14"/>
  <c r="M28" i="14"/>
  <c r="J28" i="14"/>
  <c r="M27" i="14"/>
  <c r="L27" i="14"/>
  <c r="L28" i="14" s="1"/>
  <c r="L29" i="14" s="1"/>
  <c r="L30" i="14" s="1"/>
  <c r="L31" i="14" s="1"/>
  <c r="J27" i="14"/>
  <c r="I27" i="14"/>
  <c r="I28" i="14" s="1"/>
  <c r="I29" i="14" s="1"/>
  <c r="I30" i="14" s="1"/>
  <c r="I31" i="14" s="1"/>
  <c r="M26" i="14"/>
  <c r="J26" i="14"/>
  <c r="M25" i="14"/>
  <c r="J25" i="14"/>
  <c r="M24" i="14"/>
  <c r="L24" i="14"/>
  <c r="L25" i="14" s="1"/>
  <c r="J24" i="14"/>
  <c r="I24" i="14"/>
  <c r="I25" i="14" s="1"/>
  <c r="M23" i="14"/>
  <c r="J23" i="14"/>
  <c r="M22" i="14"/>
  <c r="J22" i="14"/>
  <c r="M21" i="14"/>
  <c r="J21" i="14"/>
  <c r="M20" i="14"/>
  <c r="J20" i="14"/>
  <c r="M19" i="14"/>
  <c r="L19" i="14"/>
  <c r="L20" i="14" s="1"/>
  <c r="L21" i="14" s="1"/>
  <c r="L22" i="14" s="1"/>
  <c r="L23" i="14" s="1"/>
  <c r="J19" i="14"/>
  <c r="I19" i="14"/>
  <c r="I20" i="14" s="1"/>
  <c r="I21" i="14" s="1"/>
  <c r="I22" i="14" s="1"/>
  <c r="I23" i="14" s="1"/>
  <c r="M18" i="14"/>
  <c r="J18" i="14"/>
  <c r="M17" i="14"/>
  <c r="J17" i="14"/>
  <c r="M16" i="14"/>
  <c r="L16" i="14"/>
  <c r="L17" i="14" s="1"/>
  <c r="J16" i="14"/>
  <c r="I16" i="14"/>
  <c r="I17" i="14" s="1"/>
  <c r="M15" i="14"/>
  <c r="J15" i="14"/>
  <c r="O14" i="14"/>
  <c r="M14" i="14"/>
  <c r="J14" i="14"/>
  <c r="N14" i="14" s="1"/>
  <c r="P14" i="14" s="1"/>
  <c r="M13" i="14"/>
  <c r="J13" i="14"/>
  <c r="M12" i="14"/>
  <c r="J12" i="14"/>
  <c r="O11" i="14"/>
  <c r="M11" i="14"/>
  <c r="L11" i="14"/>
  <c r="L12" i="14" s="1"/>
  <c r="L13" i="14" s="1"/>
  <c r="L14" i="14" s="1"/>
  <c r="L15" i="14" s="1"/>
  <c r="J11" i="14"/>
  <c r="N11" i="14" s="1"/>
  <c r="P11" i="14" s="1"/>
  <c r="I11" i="14"/>
  <c r="I12" i="14" s="1"/>
  <c r="I13" i="14" s="1"/>
  <c r="I14" i="14" s="1"/>
  <c r="I15" i="14" s="1"/>
  <c r="M10" i="14"/>
  <c r="J10" i="14"/>
  <c r="N87" i="13"/>
  <c r="M87" i="13"/>
  <c r="J87" i="13"/>
  <c r="O86" i="13"/>
  <c r="M86" i="13"/>
  <c r="L86" i="13"/>
  <c r="L87" i="13" s="1"/>
  <c r="J86" i="13"/>
  <c r="I86" i="13"/>
  <c r="I87" i="13" s="1"/>
  <c r="M85" i="13"/>
  <c r="J85" i="13"/>
  <c r="M84" i="13"/>
  <c r="J84" i="13"/>
  <c r="M83" i="13"/>
  <c r="J83" i="13"/>
  <c r="M82" i="13"/>
  <c r="J82" i="13"/>
  <c r="M81" i="13"/>
  <c r="L81" i="13"/>
  <c r="L82" i="13" s="1"/>
  <c r="L83" i="13" s="1"/>
  <c r="L84" i="13" s="1"/>
  <c r="L85" i="13" s="1"/>
  <c r="J81" i="13"/>
  <c r="I81" i="13"/>
  <c r="I82" i="13" s="1"/>
  <c r="I83" i="13" s="1"/>
  <c r="I84" i="13" s="1"/>
  <c r="I85" i="13" s="1"/>
  <c r="M80" i="13"/>
  <c r="J80" i="13"/>
  <c r="M79" i="13"/>
  <c r="J79" i="13"/>
  <c r="M78" i="13"/>
  <c r="L78" i="13"/>
  <c r="L79" i="13" s="1"/>
  <c r="J78" i="13"/>
  <c r="I78" i="13"/>
  <c r="I79" i="13" s="1"/>
  <c r="M77" i="13"/>
  <c r="J77" i="13"/>
  <c r="M76" i="13"/>
  <c r="J76" i="13"/>
  <c r="M75" i="13"/>
  <c r="J75" i="13"/>
  <c r="M74" i="13"/>
  <c r="J74" i="13"/>
  <c r="M73" i="13"/>
  <c r="L73" i="13"/>
  <c r="L74" i="13" s="1"/>
  <c r="L75" i="13" s="1"/>
  <c r="L76" i="13" s="1"/>
  <c r="L77" i="13" s="1"/>
  <c r="J73" i="13"/>
  <c r="I73" i="13"/>
  <c r="I74" i="13" s="1"/>
  <c r="I75" i="13" s="1"/>
  <c r="I76" i="13" s="1"/>
  <c r="I77" i="13" s="1"/>
  <c r="M72" i="13"/>
  <c r="J72" i="13"/>
  <c r="M71" i="13"/>
  <c r="J71" i="13"/>
  <c r="M70" i="13"/>
  <c r="L70" i="13"/>
  <c r="L71" i="13" s="1"/>
  <c r="J70" i="13"/>
  <c r="I70" i="13"/>
  <c r="I71" i="13" s="1"/>
  <c r="M69" i="13"/>
  <c r="J69" i="13"/>
  <c r="M68" i="13"/>
  <c r="J68" i="13"/>
  <c r="M67" i="13"/>
  <c r="J67" i="13"/>
  <c r="M66" i="13"/>
  <c r="J66" i="13"/>
  <c r="M65" i="13"/>
  <c r="L65" i="13"/>
  <c r="L66" i="13" s="1"/>
  <c r="L67" i="13" s="1"/>
  <c r="L68" i="13" s="1"/>
  <c r="L69" i="13" s="1"/>
  <c r="J65" i="13"/>
  <c r="I65" i="13"/>
  <c r="I66" i="13" s="1"/>
  <c r="I67" i="13" s="1"/>
  <c r="I68" i="13" s="1"/>
  <c r="I69" i="13" s="1"/>
  <c r="M64" i="13"/>
  <c r="J64" i="13"/>
  <c r="M60" i="13"/>
  <c r="J60" i="13"/>
  <c r="M59" i="13"/>
  <c r="L59" i="13"/>
  <c r="L60" i="13" s="1"/>
  <c r="J59" i="13"/>
  <c r="I59" i="13"/>
  <c r="I60" i="13" s="1"/>
  <c r="M58" i="13"/>
  <c r="J58" i="13"/>
  <c r="M57" i="13"/>
  <c r="J57" i="13"/>
  <c r="M56" i="13"/>
  <c r="J56" i="13"/>
  <c r="M55" i="13"/>
  <c r="J55" i="13"/>
  <c r="M54" i="13"/>
  <c r="L54" i="13"/>
  <c r="L55" i="13" s="1"/>
  <c r="L56" i="13" s="1"/>
  <c r="L57" i="13" s="1"/>
  <c r="L58" i="13" s="1"/>
  <c r="J54" i="13"/>
  <c r="I54" i="13"/>
  <c r="I55" i="13" s="1"/>
  <c r="I56" i="13" s="1"/>
  <c r="I57" i="13" s="1"/>
  <c r="I58" i="13" s="1"/>
  <c r="M53" i="13"/>
  <c r="J53" i="13"/>
  <c r="M52" i="13"/>
  <c r="J52" i="13"/>
  <c r="M51" i="13"/>
  <c r="L51" i="13"/>
  <c r="L52" i="13" s="1"/>
  <c r="J51" i="13"/>
  <c r="I51" i="13"/>
  <c r="I52" i="13" s="1"/>
  <c r="M50" i="13"/>
  <c r="J50" i="13"/>
  <c r="M49" i="13"/>
  <c r="J49" i="13"/>
  <c r="M48" i="13"/>
  <c r="J48" i="13"/>
  <c r="M47" i="13"/>
  <c r="J47" i="13"/>
  <c r="M46" i="13"/>
  <c r="L46" i="13"/>
  <c r="L47" i="13" s="1"/>
  <c r="L48" i="13" s="1"/>
  <c r="L49" i="13" s="1"/>
  <c r="L50" i="13" s="1"/>
  <c r="J46" i="13"/>
  <c r="I46" i="13"/>
  <c r="I47" i="13" s="1"/>
  <c r="I48" i="13" s="1"/>
  <c r="I49" i="13" s="1"/>
  <c r="I50" i="13" s="1"/>
  <c r="M45" i="13"/>
  <c r="J45" i="13"/>
  <c r="M44" i="13"/>
  <c r="J44" i="13"/>
  <c r="M43" i="13"/>
  <c r="L43" i="13"/>
  <c r="L44" i="13" s="1"/>
  <c r="J43" i="13"/>
  <c r="I43" i="13"/>
  <c r="I44" i="13" s="1"/>
  <c r="M42" i="13"/>
  <c r="J42" i="13"/>
  <c r="M41" i="13"/>
  <c r="J41" i="13"/>
  <c r="M40" i="13"/>
  <c r="J40" i="13"/>
  <c r="M39" i="13"/>
  <c r="J39" i="13"/>
  <c r="M38" i="13"/>
  <c r="L38" i="13"/>
  <c r="L39" i="13" s="1"/>
  <c r="L40" i="13" s="1"/>
  <c r="L41" i="13" s="1"/>
  <c r="L42" i="13" s="1"/>
  <c r="J38" i="13"/>
  <c r="I38" i="13"/>
  <c r="I39" i="13" s="1"/>
  <c r="I40" i="13" s="1"/>
  <c r="I41" i="13" s="1"/>
  <c r="I42" i="13" s="1"/>
  <c r="M37" i="13"/>
  <c r="J37" i="13"/>
  <c r="M33" i="13"/>
  <c r="J33" i="13"/>
  <c r="M32" i="13"/>
  <c r="L32" i="13"/>
  <c r="L33" i="13" s="1"/>
  <c r="J32" i="13"/>
  <c r="I32" i="13"/>
  <c r="I33" i="13" s="1"/>
  <c r="M31" i="13"/>
  <c r="J31" i="13"/>
  <c r="M30" i="13"/>
  <c r="J30" i="13"/>
  <c r="M29" i="13"/>
  <c r="J29" i="13"/>
  <c r="M28" i="13"/>
  <c r="J28" i="13"/>
  <c r="M27" i="13"/>
  <c r="L27" i="13"/>
  <c r="L28" i="13" s="1"/>
  <c r="L29" i="13" s="1"/>
  <c r="L30" i="13" s="1"/>
  <c r="L31" i="13" s="1"/>
  <c r="J27" i="13"/>
  <c r="I27" i="13"/>
  <c r="I28" i="13" s="1"/>
  <c r="I29" i="13" s="1"/>
  <c r="I30" i="13" s="1"/>
  <c r="I31" i="13" s="1"/>
  <c r="M26" i="13"/>
  <c r="J26" i="13"/>
  <c r="M25" i="13"/>
  <c r="J25" i="13"/>
  <c r="M24" i="13"/>
  <c r="L24" i="13"/>
  <c r="L25" i="13" s="1"/>
  <c r="J24" i="13"/>
  <c r="I24" i="13"/>
  <c r="I25" i="13" s="1"/>
  <c r="M23" i="13"/>
  <c r="J23" i="13"/>
  <c r="M22" i="13"/>
  <c r="J22" i="13"/>
  <c r="M21" i="13"/>
  <c r="J21" i="13"/>
  <c r="M20" i="13"/>
  <c r="J20" i="13"/>
  <c r="M19" i="13"/>
  <c r="L19" i="13"/>
  <c r="L20" i="13" s="1"/>
  <c r="L21" i="13" s="1"/>
  <c r="L22" i="13" s="1"/>
  <c r="L23" i="13" s="1"/>
  <c r="J19" i="13"/>
  <c r="I19" i="13"/>
  <c r="I20" i="13" s="1"/>
  <c r="I21" i="13" s="1"/>
  <c r="I22" i="13" s="1"/>
  <c r="I23" i="13" s="1"/>
  <c r="M18" i="13"/>
  <c r="J18" i="13"/>
  <c r="M17" i="13"/>
  <c r="J17" i="13"/>
  <c r="M16" i="13"/>
  <c r="L16" i="13"/>
  <c r="L17" i="13" s="1"/>
  <c r="J16" i="13"/>
  <c r="I16" i="13"/>
  <c r="I17" i="13" s="1"/>
  <c r="N15" i="13"/>
  <c r="P15" i="13" s="1"/>
  <c r="M15" i="13"/>
  <c r="J15" i="13"/>
  <c r="O15" i="13" s="1"/>
  <c r="M14" i="13"/>
  <c r="J14" i="13"/>
  <c r="M13" i="13"/>
  <c r="J13" i="13"/>
  <c r="M12" i="13"/>
  <c r="J12" i="13"/>
  <c r="N11" i="13"/>
  <c r="P11" i="13" s="1"/>
  <c r="M11" i="13"/>
  <c r="L11" i="13"/>
  <c r="L12" i="13" s="1"/>
  <c r="L13" i="13" s="1"/>
  <c r="L14" i="13" s="1"/>
  <c r="L15" i="13" s="1"/>
  <c r="J11" i="13"/>
  <c r="O11" i="13" s="1"/>
  <c r="I11" i="13"/>
  <c r="I12" i="13" s="1"/>
  <c r="I13" i="13" s="1"/>
  <c r="I14" i="13" s="1"/>
  <c r="I15" i="13" s="1"/>
  <c r="M10" i="13"/>
  <c r="J10" i="13"/>
  <c r="M87" i="12"/>
  <c r="J87" i="12"/>
  <c r="M86" i="12"/>
  <c r="L86" i="12"/>
  <c r="L87" i="12" s="1"/>
  <c r="J86" i="12"/>
  <c r="I86" i="12"/>
  <c r="I87" i="12" s="1"/>
  <c r="N85" i="12"/>
  <c r="P85" i="12" s="1"/>
  <c r="M85" i="12"/>
  <c r="J85" i="12"/>
  <c r="O85" i="12" s="1"/>
  <c r="O84" i="12"/>
  <c r="M84" i="12"/>
  <c r="J84" i="12"/>
  <c r="N84" i="12" s="1"/>
  <c r="P84" i="12" s="1"/>
  <c r="M83" i="12"/>
  <c r="J83" i="12"/>
  <c r="M82" i="12"/>
  <c r="J82" i="12"/>
  <c r="M81" i="12"/>
  <c r="L81" i="12"/>
  <c r="L82" i="12" s="1"/>
  <c r="L83" i="12" s="1"/>
  <c r="L84" i="12" s="1"/>
  <c r="L85" i="12" s="1"/>
  <c r="J81" i="12"/>
  <c r="I81" i="12"/>
  <c r="I82" i="12" s="1"/>
  <c r="I83" i="12" s="1"/>
  <c r="I84" i="12" s="1"/>
  <c r="I85" i="12" s="1"/>
  <c r="M80" i="12"/>
  <c r="J80" i="12"/>
  <c r="M79" i="12"/>
  <c r="J79" i="12"/>
  <c r="M78" i="12"/>
  <c r="L78" i="12"/>
  <c r="L79" i="12" s="1"/>
  <c r="J78" i="12"/>
  <c r="I78" i="12"/>
  <c r="I79" i="12" s="1"/>
  <c r="M77" i="12"/>
  <c r="J77" i="12"/>
  <c r="M76" i="12"/>
  <c r="J76" i="12"/>
  <c r="M75" i="12"/>
  <c r="J75" i="12"/>
  <c r="M74" i="12"/>
  <c r="J74" i="12"/>
  <c r="M73" i="12"/>
  <c r="L73" i="12"/>
  <c r="L74" i="12" s="1"/>
  <c r="L75" i="12" s="1"/>
  <c r="L76" i="12" s="1"/>
  <c r="L77" i="12" s="1"/>
  <c r="J73" i="12"/>
  <c r="I73" i="12"/>
  <c r="I74" i="12" s="1"/>
  <c r="I75" i="12" s="1"/>
  <c r="I76" i="12" s="1"/>
  <c r="I77" i="12" s="1"/>
  <c r="M72" i="12"/>
  <c r="J72" i="12"/>
  <c r="M71" i="12"/>
  <c r="J71" i="12"/>
  <c r="M70" i="12"/>
  <c r="L70" i="12"/>
  <c r="L71" i="12" s="1"/>
  <c r="J70" i="12"/>
  <c r="I70" i="12"/>
  <c r="I71" i="12" s="1"/>
  <c r="M69" i="12"/>
  <c r="J69" i="12"/>
  <c r="M68" i="12"/>
  <c r="J68" i="12"/>
  <c r="M67" i="12"/>
  <c r="J67" i="12"/>
  <c r="M66" i="12"/>
  <c r="J66" i="12"/>
  <c r="M65" i="12"/>
  <c r="L65" i="12"/>
  <c r="L66" i="12" s="1"/>
  <c r="L67" i="12" s="1"/>
  <c r="L68" i="12" s="1"/>
  <c r="L69" i="12" s="1"/>
  <c r="J65" i="12"/>
  <c r="I65" i="12"/>
  <c r="I66" i="12" s="1"/>
  <c r="I67" i="12" s="1"/>
  <c r="I68" i="12" s="1"/>
  <c r="I69" i="12" s="1"/>
  <c r="M64" i="12"/>
  <c r="J64" i="12"/>
  <c r="M60" i="12"/>
  <c r="J60" i="12"/>
  <c r="M59" i="12"/>
  <c r="L59" i="12"/>
  <c r="L60" i="12" s="1"/>
  <c r="J59" i="12"/>
  <c r="I59" i="12"/>
  <c r="I60" i="12" s="1"/>
  <c r="M58" i="12"/>
  <c r="J58" i="12"/>
  <c r="M57" i="12"/>
  <c r="J57" i="12"/>
  <c r="M56" i="12"/>
  <c r="J56" i="12"/>
  <c r="M55" i="12"/>
  <c r="J55" i="12"/>
  <c r="M54" i="12"/>
  <c r="L54" i="12"/>
  <c r="L55" i="12" s="1"/>
  <c r="L56" i="12" s="1"/>
  <c r="L57" i="12" s="1"/>
  <c r="L58" i="12" s="1"/>
  <c r="J54" i="12"/>
  <c r="I54" i="12"/>
  <c r="I55" i="12" s="1"/>
  <c r="I56" i="12" s="1"/>
  <c r="I57" i="12" s="1"/>
  <c r="I58" i="12" s="1"/>
  <c r="M53" i="12"/>
  <c r="J53" i="12"/>
  <c r="M52" i="12"/>
  <c r="J52" i="12"/>
  <c r="M51" i="12"/>
  <c r="L51" i="12"/>
  <c r="L52" i="12" s="1"/>
  <c r="J51" i="12"/>
  <c r="I51" i="12"/>
  <c r="I52" i="12" s="1"/>
  <c r="M50" i="12"/>
  <c r="J50" i="12"/>
  <c r="M49" i="12"/>
  <c r="J49" i="12"/>
  <c r="M48" i="12"/>
  <c r="J48" i="12"/>
  <c r="M47" i="12"/>
  <c r="J47" i="12"/>
  <c r="M46" i="12"/>
  <c r="L46" i="12"/>
  <c r="L47" i="12" s="1"/>
  <c r="L48" i="12" s="1"/>
  <c r="L49" i="12" s="1"/>
  <c r="L50" i="12" s="1"/>
  <c r="J46" i="12"/>
  <c r="I46" i="12"/>
  <c r="I47" i="12" s="1"/>
  <c r="I48" i="12" s="1"/>
  <c r="I49" i="12" s="1"/>
  <c r="I50" i="12" s="1"/>
  <c r="M45" i="12"/>
  <c r="J45" i="12"/>
  <c r="M44" i="12"/>
  <c r="J44" i="12"/>
  <c r="M43" i="12"/>
  <c r="L43" i="12"/>
  <c r="L44" i="12" s="1"/>
  <c r="J43" i="12"/>
  <c r="I43" i="12"/>
  <c r="I44" i="12" s="1"/>
  <c r="M42" i="12"/>
  <c r="J42" i="12"/>
  <c r="M41" i="12"/>
  <c r="J41" i="12"/>
  <c r="M40" i="12"/>
  <c r="J40" i="12"/>
  <c r="M39" i="12"/>
  <c r="J39" i="12"/>
  <c r="M38" i="12"/>
  <c r="L38" i="12"/>
  <c r="L39" i="12" s="1"/>
  <c r="L40" i="12" s="1"/>
  <c r="L41" i="12" s="1"/>
  <c r="L42" i="12" s="1"/>
  <c r="J38" i="12"/>
  <c r="I38" i="12"/>
  <c r="I39" i="12" s="1"/>
  <c r="I40" i="12" s="1"/>
  <c r="I41" i="12" s="1"/>
  <c r="I42" i="12" s="1"/>
  <c r="M37" i="12"/>
  <c r="J37" i="12"/>
  <c r="M33" i="12"/>
  <c r="J33" i="12"/>
  <c r="M32" i="12"/>
  <c r="L32" i="12"/>
  <c r="L33" i="12" s="1"/>
  <c r="J32" i="12"/>
  <c r="I32" i="12"/>
  <c r="I33" i="12" s="1"/>
  <c r="M31" i="12"/>
  <c r="J31" i="12"/>
  <c r="M30" i="12"/>
  <c r="J30" i="12"/>
  <c r="M29" i="12"/>
  <c r="J29" i="12"/>
  <c r="M28" i="12"/>
  <c r="J28" i="12"/>
  <c r="M27" i="12"/>
  <c r="L27" i="12"/>
  <c r="L28" i="12" s="1"/>
  <c r="L29" i="12" s="1"/>
  <c r="L30" i="12" s="1"/>
  <c r="L31" i="12" s="1"/>
  <c r="J27" i="12"/>
  <c r="I27" i="12"/>
  <c r="I28" i="12" s="1"/>
  <c r="I29" i="12" s="1"/>
  <c r="I30" i="12" s="1"/>
  <c r="I31" i="12" s="1"/>
  <c r="M26" i="12"/>
  <c r="J26" i="12"/>
  <c r="M25" i="12"/>
  <c r="J25" i="12"/>
  <c r="M24" i="12"/>
  <c r="L24" i="12"/>
  <c r="L25" i="12" s="1"/>
  <c r="J24" i="12"/>
  <c r="I24" i="12"/>
  <c r="I25" i="12" s="1"/>
  <c r="M23" i="12"/>
  <c r="J23" i="12"/>
  <c r="M22" i="12"/>
  <c r="J22" i="12"/>
  <c r="M21" i="12"/>
  <c r="J21" i="12"/>
  <c r="N20" i="12"/>
  <c r="P20" i="12" s="1"/>
  <c r="M20" i="12"/>
  <c r="J20" i="12"/>
  <c r="O20" i="12" s="1"/>
  <c r="M19" i="12"/>
  <c r="L19" i="12"/>
  <c r="L20" i="12" s="1"/>
  <c r="L21" i="12" s="1"/>
  <c r="L22" i="12" s="1"/>
  <c r="L23" i="12" s="1"/>
  <c r="J19" i="12"/>
  <c r="I19" i="12"/>
  <c r="I20" i="12" s="1"/>
  <c r="I21" i="12" s="1"/>
  <c r="I22" i="12" s="1"/>
  <c r="I23" i="12" s="1"/>
  <c r="M18" i="12"/>
  <c r="J18" i="12"/>
  <c r="M17" i="12"/>
  <c r="J17" i="12"/>
  <c r="M16" i="12"/>
  <c r="L16" i="12"/>
  <c r="L17" i="12" s="1"/>
  <c r="J16" i="12"/>
  <c r="I16" i="12"/>
  <c r="I17" i="12" s="1"/>
  <c r="N15" i="12"/>
  <c r="P15" i="12" s="1"/>
  <c r="M15" i="12"/>
  <c r="J15" i="12"/>
  <c r="O15" i="12" s="1"/>
  <c r="M14" i="12"/>
  <c r="J14" i="12"/>
  <c r="M13" i="12"/>
  <c r="J13" i="12"/>
  <c r="M12" i="12"/>
  <c r="J12" i="12"/>
  <c r="M11" i="12"/>
  <c r="L11" i="12"/>
  <c r="L12" i="12" s="1"/>
  <c r="L13" i="12" s="1"/>
  <c r="L14" i="12" s="1"/>
  <c r="L15" i="12" s="1"/>
  <c r="J11" i="12"/>
  <c r="I11" i="12"/>
  <c r="I12" i="12" s="1"/>
  <c r="I13" i="12" s="1"/>
  <c r="I14" i="12" s="1"/>
  <c r="I15" i="12" s="1"/>
  <c r="M10" i="12"/>
  <c r="J10" i="12"/>
  <c r="L65" i="11"/>
  <c r="I65" i="11"/>
  <c r="L64" i="11"/>
  <c r="K64" i="11"/>
  <c r="K65" i="11" s="1"/>
  <c r="I64" i="11"/>
  <c r="H64" i="11"/>
  <c r="H65" i="11" s="1"/>
  <c r="L62" i="11"/>
  <c r="I62" i="11"/>
  <c r="L61" i="11"/>
  <c r="I61" i="11"/>
  <c r="L60" i="11"/>
  <c r="I60" i="11"/>
  <c r="L59" i="11"/>
  <c r="I59" i="11"/>
  <c r="L58" i="11"/>
  <c r="K58" i="11"/>
  <c r="K59" i="11" s="1"/>
  <c r="K60" i="11" s="1"/>
  <c r="K61" i="11" s="1"/>
  <c r="K62" i="11" s="1"/>
  <c r="I58" i="11"/>
  <c r="H58" i="11"/>
  <c r="H59" i="11" s="1"/>
  <c r="H60" i="11" s="1"/>
  <c r="H61" i="11" s="1"/>
  <c r="H62" i="11" s="1"/>
  <c r="L57" i="11"/>
  <c r="I57" i="11"/>
  <c r="L56" i="11"/>
  <c r="I56" i="11"/>
  <c r="L55" i="11"/>
  <c r="K55" i="11"/>
  <c r="K56" i="11" s="1"/>
  <c r="I55" i="11"/>
  <c r="H55" i="11"/>
  <c r="H56" i="11" s="1"/>
  <c r="L53" i="11"/>
  <c r="I53" i="11"/>
  <c r="L52" i="11"/>
  <c r="I52" i="11"/>
  <c r="L51" i="11"/>
  <c r="I51" i="11"/>
  <c r="L50" i="11"/>
  <c r="I50" i="11"/>
  <c r="L49" i="11"/>
  <c r="K49" i="11"/>
  <c r="K50" i="11" s="1"/>
  <c r="K51" i="11" s="1"/>
  <c r="K52" i="11" s="1"/>
  <c r="K53" i="11" s="1"/>
  <c r="I49" i="11"/>
  <c r="H49" i="11"/>
  <c r="H50" i="11" s="1"/>
  <c r="H51" i="11" s="1"/>
  <c r="H52" i="11" s="1"/>
  <c r="H53" i="11" s="1"/>
  <c r="L48" i="11"/>
  <c r="I48" i="11"/>
  <c r="L47" i="11"/>
  <c r="I47" i="11"/>
  <c r="L46" i="11"/>
  <c r="K46" i="11"/>
  <c r="K47" i="11" s="1"/>
  <c r="I46" i="11"/>
  <c r="H46" i="11"/>
  <c r="H47" i="11" s="1"/>
  <c r="L44" i="11"/>
  <c r="I44" i="11"/>
  <c r="L43" i="11"/>
  <c r="I43" i="11"/>
  <c r="L42" i="11"/>
  <c r="I42" i="11"/>
  <c r="L41" i="11"/>
  <c r="I41" i="11"/>
  <c r="L40" i="11"/>
  <c r="K40" i="11"/>
  <c r="K41" i="11" s="1"/>
  <c r="K42" i="11" s="1"/>
  <c r="K43" i="11" s="1"/>
  <c r="K44" i="11" s="1"/>
  <c r="I40" i="11"/>
  <c r="H40" i="11"/>
  <c r="H41" i="11" s="1"/>
  <c r="H42" i="11" s="1"/>
  <c r="H43" i="11" s="1"/>
  <c r="H44" i="11" s="1"/>
  <c r="L39" i="11"/>
  <c r="I39" i="11"/>
  <c r="L35" i="11"/>
  <c r="I35" i="11"/>
  <c r="L34" i="11"/>
  <c r="K34" i="11"/>
  <c r="K35" i="11" s="1"/>
  <c r="I34" i="11"/>
  <c r="H34" i="11"/>
  <c r="H35" i="11" s="1"/>
  <c r="L32" i="11"/>
  <c r="I32" i="11"/>
  <c r="L31" i="11"/>
  <c r="I31" i="11"/>
  <c r="L30" i="11"/>
  <c r="I30" i="11"/>
  <c r="L29" i="11"/>
  <c r="I29" i="11"/>
  <c r="L28" i="11"/>
  <c r="K28" i="11"/>
  <c r="K29" i="11" s="1"/>
  <c r="K30" i="11" s="1"/>
  <c r="K31" i="11" s="1"/>
  <c r="K32" i="11" s="1"/>
  <c r="I28" i="11"/>
  <c r="H28" i="11"/>
  <c r="H29" i="11" s="1"/>
  <c r="H30" i="11" s="1"/>
  <c r="H31" i="11" s="1"/>
  <c r="H32" i="11" s="1"/>
  <c r="L27" i="11"/>
  <c r="I27" i="11"/>
  <c r="L26" i="11"/>
  <c r="I26" i="11"/>
  <c r="L25" i="11"/>
  <c r="K25" i="11"/>
  <c r="K26" i="11" s="1"/>
  <c r="I25" i="11"/>
  <c r="H25" i="11"/>
  <c r="H26" i="11" s="1"/>
  <c r="L23" i="11"/>
  <c r="I23" i="11"/>
  <c r="L22" i="11"/>
  <c r="I22" i="11"/>
  <c r="L21" i="11"/>
  <c r="I21" i="11"/>
  <c r="L20" i="11"/>
  <c r="I20" i="11"/>
  <c r="L19" i="11"/>
  <c r="K19" i="11"/>
  <c r="K20" i="11" s="1"/>
  <c r="K21" i="11" s="1"/>
  <c r="K22" i="11" s="1"/>
  <c r="K23" i="11" s="1"/>
  <c r="I19" i="11"/>
  <c r="H19" i="11"/>
  <c r="H20" i="11" s="1"/>
  <c r="H21" i="11" s="1"/>
  <c r="H22" i="11" s="1"/>
  <c r="H23" i="11" s="1"/>
  <c r="L18" i="11"/>
  <c r="I18" i="11"/>
  <c r="L17" i="11"/>
  <c r="I17" i="11"/>
  <c r="L16" i="11"/>
  <c r="K16" i="11"/>
  <c r="K17" i="11" s="1"/>
  <c r="I16" i="11"/>
  <c r="H16" i="11"/>
  <c r="H17" i="11" s="1"/>
  <c r="L14" i="11"/>
  <c r="I14" i="11"/>
  <c r="L13" i="11"/>
  <c r="I13" i="11"/>
  <c r="L12" i="11"/>
  <c r="I12" i="11"/>
  <c r="L11" i="11"/>
  <c r="I11" i="11"/>
  <c r="L10" i="11"/>
  <c r="K10" i="11"/>
  <c r="K11" i="11" s="1"/>
  <c r="K12" i="11" s="1"/>
  <c r="K13" i="11" s="1"/>
  <c r="K14" i="11" s="1"/>
  <c r="I10" i="11"/>
  <c r="H10" i="11"/>
  <c r="H11" i="11" s="1"/>
  <c r="H12" i="11" s="1"/>
  <c r="H13" i="11" s="1"/>
  <c r="H14" i="11" s="1"/>
  <c r="L9" i="11"/>
  <c r="I9" i="11"/>
  <c r="M65" i="10"/>
  <c r="O65" i="10" s="1"/>
  <c r="L65" i="10"/>
  <c r="I65" i="10"/>
  <c r="L64" i="10"/>
  <c r="K64" i="10"/>
  <c r="K65" i="10" s="1"/>
  <c r="I64" i="10"/>
  <c r="H64" i="10"/>
  <c r="H65" i="10" s="1"/>
  <c r="L62" i="10"/>
  <c r="I62" i="10"/>
  <c r="L61" i="10"/>
  <c r="I61" i="10"/>
  <c r="L60" i="10"/>
  <c r="I60" i="10"/>
  <c r="L59" i="10"/>
  <c r="I59" i="10"/>
  <c r="L58" i="10"/>
  <c r="K58" i="10"/>
  <c r="K59" i="10" s="1"/>
  <c r="K60" i="10" s="1"/>
  <c r="K61" i="10" s="1"/>
  <c r="K62" i="10" s="1"/>
  <c r="I58" i="10"/>
  <c r="H58" i="10"/>
  <c r="H59" i="10" s="1"/>
  <c r="H60" i="10" s="1"/>
  <c r="H61" i="10" s="1"/>
  <c r="H62" i="10" s="1"/>
  <c r="L57" i="10"/>
  <c r="I57" i="10"/>
  <c r="L56" i="10"/>
  <c r="I56" i="10"/>
  <c r="L55" i="10"/>
  <c r="K55" i="10"/>
  <c r="K56" i="10" s="1"/>
  <c r="I55" i="10"/>
  <c r="H55" i="10"/>
  <c r="H56" i="10" s="1"/>
  <c r="L53" i="10"/>
  <c r="I53" i="10"/>
  <c r="L52" i="10"/>
  <c r="I52" i="10"/>
  <c r="L51" i="10"/>
  <c r="I51" i="10"/>
  <c r="L50" i="10"/>
  <c r="I50" i="10"/>
  <c r="L49" i="10"/>
  <c r="K49" i="10"/>
  <c r="K50" i="10" s="1"/>
  <c r="K51" i="10" s="1"/>
  <c r="K52" i="10" s="1"/>
  <c r="K53" i="10" s="1"/>
  <c r="I49" i="10"/>
  <c r="H49" i="10"/>
  <c r="H50" i="10" s="1"/>
  <c r="H51" i="10" s="1"/>
  <c r="H52" i="10" s="1"/>
  <c r="H53" i="10" s="1"/>
  <c r="L48" i="10"/>
  <c r="I48" i="10"/>
  <c r="L47" i="10"/>
  <c r="I47" i="10"/>
  <c r="L46" i="10"/>
  <c r="K46" i="10"/>
  <c r="K47" i="10" s="1"/>
  <c r="I46" i="10"/>
  <c r="H46" i="10"/>
  <c r="H47" i="10" s="1"/>
  <c r="L44" i="10"/>
  <c r="I44" i="10"/>
  <c r="L43" i="10"/>
  <c r="I43" i="10"/>
  <c r="L42" i="10"/>
  <c r="I42" i="10"/>
  <c r="L41" i="10"/>
  <c r="I41" i="10"/>
  <c r="L40" i="10"/>
  <c r="K40" i="10"/>
  <c r="K41" i="10" s="1"/>
  <c r="K42" i="10" s="1"/>
  <c r="K43" i="10" s="1"/>
  <c r="K44" i="10" s="1"/>
  <c r="I40" i="10"/>
  <c r="H40" i="10"/>
  <c r="H41" i="10" s="1"/>
  <c r="H42" i="10" s="1"/>
  <c r="H43" i="10" s="1"/>
  <c r="H44" i="10" s="1"/>
  <c r="L39" i="10"/>
  <c r="I39" i="10"/>
  <c r="L35" i="10"/>
  <c r="I35" i="10"/>
  <c r="L34" i="10"/>
  <c r="K34" i="10"/>
  <c r="K35" i="10" s="1"/>
  <c r="I34" i="10"/>
  <c r="H34" i="10"/>
  <c r="H35" i="10" s="1"/>
  <c r="L32" i="10"/>
  <c r="I32" i="10"/>
  <c r="L31" i="10"/>
  <c r="I31" i="10"/>
  <c r="L30" i="10"/>
  <c r="I30" i="10"/>
  <c r="L29" i="10"/>
  <c r="I29" i="10"/>
  <c r="L28" i="10"/>
  <c r="K28" i="10"/>
  <c r="K29" i="10" s="1"/>
  <c r="K30" i="10" s="1"/>
  <c r="K31" i="10" s="1"/>
  <c r="K32" i="10" s="1"/>
  <c r="I28" i="10"/>
  <c r="H28" i="10"/>
  <c r="H29" i="10" s="1"/>
  <c r="H30" i="10" s="1"/>
  <c r="H31" i="10" s="1"/>
  <c r="H32" i="10" s="1"/>
  <c r="L27" i="10"/>
  <c r="I27" i="10"/>
  <c r="L26" i="10"/>
  <c r="I26" i="10"/>
  <c r="L25" i="10"/>
  <c r="K25" i="10"/>
  <c r="K26" i="10" s="1"/>
  <c r="I25" i="10"/>
  <c r="H25" i="10"/>
  <c r="H26" i="10" s="1"/>
  <c r="L23" i="10"/>
  <c r="I23" i="10"/>
  <c r="L22" i="10"/>
  <c r="I22" i="10"/>
  <c r="L21" i="10"/>
  <c r="I21" i="10"/>
  <c r="L20" i="10"/>
  <c r="I20" i="10"/>
  <c r="L19" i="10"/>
  <c r="K19" i="10"/>
  <c r="K20" i="10" s="1"/>
  <c r="K21" i="10" s="1"/>
  <c r="K22" i="10" s="1"/>
  <c r="K23" i="10" s="1"/>
  <c r="I19" i="10"/>
  <c r="H19" i="10"/>
  <c r="H20" i="10" s="1"/>
  <c r="H21" i="10" s="1"/>
  <c r="H22" i="10" s="1"/>
  <c r="H23" i="10" s="1"/>
  <c r="L18" i="10"/>
  <c r="I18" i="10"/>
  <c r="L17" i="10"/>
  <c r="I17" i="10"/>
  <c r="L16" i="10"/>
  <c r="K16" i="10"/>
  <c r="K17" i="10" s="1"/>
  <c r="I16" i="10"/>
  <c r="H16" i="10"/>
  <c r="H17" i="10" s="1"/>
  <c r="L14" i="10"/>
  <c r="I14" i="10"/>
  <c r="L13" i="10"/>
  <c r="I13" i="10"/>
  <c r="L12" i="10"/>
  <c r="I12" i="10"/>
  <c r="L11" i="10"/>
  <c r="I11" i="10"/>
  <c r="L10" i="10"/>
  <c r="K10" i="10"/>
  <c r="K11" i="10" s="1"/>
  <c r="K12" i="10" s="1"/>
  <c r="K13" i="10" s="1"/>
  <c r="K14" i="10" s="1"/>
  <c r="I10" i="10"/>
  <c r="H10" i="10"/>
  <c r="H11" i="10" s="1"/>
  <c r="H12" i="10" s="1"/>
  <c r="H13" i="10" s="1"/>
  <c r="H14" i="10" s="1"/>
  <c r="L9" i="10"/>
  <c r="I9" i="10"/>
  <c r="L65" i="9"/>
  <c r="I65" i="9"/>
  <c r="L64" i="9"/>
  <c r="K64" i="9"/>
  <c r="K65" i="9" s="1"/>
  <c r="I64" i="9"/>
  <c r="H64" i="9"/>
  <c r="H65" i="9" s="1"/>
  <c r="L62" i="9"/>
  <c r="I62" i="9"/>
  <c r="L61" i="9"/>
  <c r="I61" i="9"/>
  <c r="L60" i="9"/>
  <c r="I60" i="9"/>
  <c r="L59" i="9"/>
  <c r="I59" i="9"/>
  <c r="L58" i="9"/>
  <c r="K58" i="9"/>
  <c r="K59" i="9" s="1"/>
  <c r="K60" i="9" s="1"/>
  <c r="K61" i="9" s="1"/>
  <c r="K62" i="9" s="1"/>
  <c r="I58" i="9"/>
  <c r="H58" i="9"/>
  <c r="H59" i="9" s="1"/>
  <c r="H60" i="9" s="1"/>
  <c r="H61" i="9" s="1"/>
  <c r="H62" i="9" s="1"/>
  <c r="L57" i="9"/>
  <c r="I57" i="9"/>
  <c r="L56" i="9"/>
  <c r="I56" i="9"/>
  <c r="L55" i="9"/>
  <c r="K55" i="9"/>
  <c r="K56" i="9" s="1"/>
  <c r="I55" i="9"/>
  <c r="H55" i="9"/>
  <c r="H56" i="9" s="1"/>
  <c r="L53" i="9"/>
  <c r="I53" i="9"/>
  <c r="L52" i="9"/>
  <c r="I52" i="9"/>
  <c r="L51" i="9"/>
  <c r="I51" i="9"/>
  <c r="L50" i="9"/>
  <c r="I50" i="9"/>
  <c r="L49" i="9"/>
  <c r="K49" i="9"/>
  <c r="K50" i="9" s="1"/>
  <c r="K51" i="9" s="1"/>
  <c r="K52" i="9" s="1"/>
  <c r="K53" i="9" s="1"/>
  <c r="I49" i="9"/>
  <c r="H49" i="9"/>
  <c r="H50" i="9" s="1"/>
  <c r="H51" i="9" s="1"/>
  <c r="H52" i="9" s="1"/>
  <c r="H53" i="9" s="1"/>
  <c r="L48" i="9"/>
  <c r="I48" i="9"/>
  <c r="L47" i="9"/>
  <c r="I47" i="9"/>
  <c r="L46" i="9"/>
  <c r="K46" i="9"/>
  <c r="K47" i="9" s="1"/>
  <c r="I46" i="9"/>
  <c r="H46" i="9"/>
  <c r="H47" i="9" s="1"/>
  <c r="L44" i="9"/>
  <c r="I44" i="9"/>
  <c r="L43" i="9"/>
  <c r="I43" i="9"/>
  <c r="L42" i="9"/>
  <c r="I42" i="9"/>
  <c r="L41" i="9"/>
  <c r="I41" i="9"/>
  <c r="L40" i="9"/>
  <c r="K40" i="9"/>
  <c r="K41" i="9" s="1"/>
  <c r="K42" i="9" s="1"/>
  <c r="K43" i="9" s="1"/>
  <c r="K44" i="9" s="1"/>
  <c r="I40" i="9"/>
  <c r="H40" i="9"/>
  <c r="H41" i="9" s="1"/>
  <c r="H42" i="9" s="1"/>
  <c r="H43" i="9" s="1"/>
  <c r="H44" i="9" s="1"/>
  <c r="L39" i="9"/>
  <c r="I39" i="9"/>
  <c r="L35" i="9"/>
  <c r="I35" i="9"/>
  <c r="L34" i="9"/>
  <c r="K34" i="9"/>
  <c r="K35" i="9" s="1"/>
  <c r="I34" i="9"/>
  <c r="H34" i="9"/>
  <c r="H35" i="9" s="1"/>
  <c r="L32" i="9"/>
  <c r="I32" i="9"/>
  <c r="L31" i="9"/>
  <c r="I31" i="9"/>
  <c r="L30" i="9"/>
  <c r="I30" i="9"/>
  <c r="L29" i="9"/>
  <c r="I29" i="9"/>
  <c r="L28" i="9"/>
  <c r="K28" i="9"/>
  <c r="K29" i="9" s="1"/>
  <c r="K30" i="9" s="1"/>
  <c r="K31" i="9" s="1"/>
  <c r="K32" i="9" s="1"/>
  <c r="I28" i="9"/>
  <c r="H28" i="9"/>
  <c r="H29" i="9" s="1"/>
  <c r="H30" i="9" s="1"/>
  <c r="H31" i="9" s="1"/>
  <c r="H32" i="9" s="1"/>
  <c r="L27" i="9"/>
  <c r="I27" i="9"/>
  <c r="L26" i="9"/>
  <c r="I26" i="9"/>
  <c r="L25" i="9"/>
  <c r="K25" i="9"/>
  <c r="K26" i="9" s="1"/>
  <c r="I25" i="9"/>
  <c r="H25" i="9"/>
  <c r="H26" i="9" s="1"/>
  <c r="L23" i="9"/>
  <c r="I23" i="9"/>
  <c r="L22" i="9"/>
  <c r="I22" i="9"/>
  <c r="L21" i="9"/>
  <c r="I21" i="9"/>
  <c r="L20" i="9"/>
  <c r="I20" i="9"/>
  <c r="L19" i="9"/>
  <c r="K19" i="9"/>
  <c r="K20" i="9" s="1"/>
  <c r="K21" i="9" s="1"/>
  <c r="K22" i="9" s="1"/>
  <c r="K23" i="9" s="1"/>
  <c r="I19" i="9"/>
  <c r="H19" i="9"/>
  <c r="H20" i="9" s="1"/>
  <c r="H21" i="9" s="1"/>
  <c r="H22" i="9" s="1"/>
  <c r="H23" i="9" s="1"/>
  <c r="L18" i="9"/>
  <c r="I18" i="9"/>
  <c r="L17" i="9"/>
  <c r="I17" i="9"/>
  <c r="L16" i="9"/>
  <c r="K16" i="9"/>
  <c r="K17" i="9" s="1"/>
  <c r="I16" i="9"/>
  <c r="H16" i="9"/>
  <c r="H17" i="9" s="1"/>
  <c r="L14" i="9"/>
  <c r="I14" i="9"/>
  <c r="L13" i="9"/>
  <c r="I13" i="9"/>
  <c r="L12" i="9"/>
  <c r="I12" i="9"/>
  <c r="L11" i="9"/>
  <c r="I11" i="9"/>
  <c r="L10" i="9"/>
  <c r="K10" i="9"/>
  <c r="K11" i="9" s="1"/>
  <c r="K12" i="9" s="1"/>
  <c r="K13" i="9" s="1"/>
  <c r="K14" i="9" s="1"/>
  <c r="I10" i="9"/>
  <c r="H10" i="9"/>
  <c r="H11" i="9" s="1"/>
  <c r="H12" i="9" s="1"/>
  <c r="H13" i="9" s="1"/>
  <c r="H14" i="9" s="1"/>
  <c r="L9" i="9"/>
  <c r="I9" i="9"/>
  <c r="L47" i="8"/>
  <c r="I47" i="8"/>
  <c r="M46" i="8"/>
  <c r="L46" i="8"/>
  <c r="I46" i="8"/>
  <c r="N46" i="8" s="1"/>
  <c r="L45" i="8"/>
  <c r="I45" i="8"/>
  <c r="L44" i="8"/>
  <c r="I44" i="8"/>
  <c r="L43" i="8"/>
  <c r="K43" i="8"/>
  <c r="K44" i="8" s="1"/>
  <c r="K45" i="8" s="1"/>
  <c r="K46" i="8" s="1"/>
  <c r="K47" i="8" s="1"/>
  <c r="I43" i="8"/>
  <c r="H43" i="8"/>
  <c r="H44" i="8" s="1"/>
  <c r="H45" i="8" s="1"/>
  <c r="H46" i="8" s="1"/>
  <c r="H47" i="8" s="1"/>
  <c r="L42" i="8"/>
  <c r="I42" i="8"/>
  <c r="L41" i="8"/>
  <c r="I41" i="8"/>
  <c r="L40" i="8"/>
  <c r="I40" i="8"/>
  <c r="L39" i="8"/>
  <c r="I39" i="8"/>
  <c r="L38" i="8"/>
  <c r="I38" i="8"/>
  <c r="L37" i="8"/>
  <c r="K37" i="8"/>
  <c r="K38" i="8" s="1"/>
  <c r="K39" i="8" s="1"/>
  <c r="K40" i="8" s="1"/>
  <c r="K41" i="8" s="1"/>
  <c r="I37" i="8"/>
  <c r="H37" i="8"/>
  <c r="H38" i="8" s="1"/>
  <c r="H39" i="8" s="1"/>
  <c r="H40" i="8" s="1"/>
  <c r="H41" i="8" s="1"/>
  <c r="L36" i="8"/>
  <c r="I36" i="8"/>
  <c r="L35" i="8"/>
  <c r="I35" i="8"/>
  <c r="L34" i="8"/>
  <c r="I34" i="8"/>
  <c r="L33" i="8"/>
  <c r="I33" i="8"/>
  <c r="L32" i="8"/>
  <c r="I32" i="8"/>
  <c r="L31" i="8"/>
  <c r="K31" i="8"/>
  <c r="K32" i="8" s="1"/>
  <c r="K33" i="8" s="1"/>
  <c r="K34" i="8" s="1"/>
  <c r="K35" i="8" s="1"/>
  <c r="I31" i="8"/>
  <c r="H31" i="8"/>
  <c r="H32" i="8" s="1"/>
  <c r="H33" i="8" s="1"/>
  <c r="H34" i="8" s="1"/>
  <c r="H35" i="8" s="1"/>
  <c r="L30" i="8"/>
  <c r="I30" i="8"/>
  <c r="L26" i="8"/>
  <c r="I26" i="8"/>
  <c r="L25" i="8"/>
  <c r="I25" i="8"/>
  <c r="L24" i="8"/>
  <c r="I24" i="8"/>
  <c r="L23" i="8"/>
  <c r="I23" i="8"/>
  <c r="L22" i="8"/>
  <c r="K22" i="8"/>
  <c r="K23" i="8" s="1"/>
  <c r="K24" i="8" s="1"/>
  <c r="K25" i="8" s="1"/>
  <c r="K26" i="8" s="1"/>
  <c r="I22" i="8"/>
  <c r="H22" i="8"/>
  <c r="H23" i="8" s="1"/>
  <c r="H24" i="8" s="1"/>
  <c r="H25" i="8" s="1"/>
  <c r="H26" i="8" s="1"/>
  <c r="L21" i="8"/>
  <c r="I21" i="8"/>
  <c r="L20" i="8"/>
  <c r="I20" i="8"/>
  <c r="L19" i="8"/>
  <c r="I19" i="8"/>
  <c r="L18" i="8"/>
  <c r="I18" i="8"/>
  <c r="L17" i="8"/>
  <c r="I17" i="8"/>
  <c r="L16" i="8"/>
  <c r="K16" i="8"/>
  <c r="K17" i="8" s="1"/>
  <c r="K18" i="8" s="1"/>
  <c r="K19" i="8" s="1"/>
  <c r="K20" i="8" s="1"/>
  <c r="I16" i="8"/>
  <c r="H16" i="8"/>
  <c r="H17" i="8" s="1"/>
  <c r="H18" i="8" s="1"/>
  <c r="H19" i="8" s="1"/>
  <c r="H20" i="8" s="1"/>
  <c r="L15" i="8"/>
  <c r="I15" i="8"/>
  <c r="L14" i="8"/>
  <c r="I14" i="8"/>
  <c r="L13" i="8"/>
  <c r="I13" i="8"/>
  <c r="L12" i="8"/>
  <c r="I12" i="8"/>
  <c r="L11" i="8"/>
  <c r="I11" i="8"/>
  <c r="L10" i="8"/>
  <c r="K10" i="8"/>
  <c r="K11" i="8" s="1"/>
  <c r="K12" i="8" s="1"/>
  <c r="K13" i="8" s="1"/>
  <c r="K14" i="8" s="1"/>
  <c r="I10" i="8"/>
  <c r="H10" i="8"/>
  <c r="H11" i="8" s="1"/>
  <c r="H12" i="8" s="1"/>
  <c r="H13" i="8" s="1"/>
  <c r="H14" i="8" s="1"/>
  <c r="L9" i="8"/>
  <c r="I9" i="8"/>
  <c r="AG25" i="19" l="1"/>
  <c r="AG20" i="19"/>
  <c r="AI20" i="19" s="1"/>
  <c r="AG15" i="19"/>
  <c r="AI15" i="19" s="1"/>
  <c r="X11" i="19"/>
  <c r="AB168" i="19"/>
  <c r="Y168" i="19"/>
  <c r="X168" i="19"/>
  <c r="AD168" i="19" s="1"/>
  <c r="Y103" i="19"/>
  <c r="X103" i="19"/>
  <c r="K104" i="19"/>
  <c r="O104" i="19"/>
  <c r="O103" i="19"/>
  <c r="AB97" i="19"/>
  <c r="Y94" i="19"/>
  <c r="X94" i="19"/>
  <c r="AD97" i="19" s="1"/>
  <c r="Y21" i="19"/>
  <c r="X21" i="19"/>
  <c r="K22" i="19"/>
  <c r="O22" i="19"/>
  <c r="O21" i="19"/>
  <c r="AB15" i="19"/>
  <c r="Y15" i="19"/>
  <c r="X15" i="19"/>
  <c r="K70" i="19"/>
  <c r="O70" i="19"/>
  <c r="O69" i="19"/>
  <c r="K65" i="19"/>
  <c r="O65" i="19"/>
  <c r="O64" i="19"/>
  <c r="K60" i="19"/>
  <c r="O59" i="19"/>
  <c r="O60" i="19"/>
  <c r="AD25" i="19"/>
  <c r="AD20" i="19"/>
  <c r="AD15" i="19"/>
  <c r="AE179" i="19"/>
  <c r="AE168" i="19"/>
  <c r="AE173" i="19"/>
  <c r="AE163" i="19"/>
  <c r="AE152" i="19"/>
  <c r="AE147" i="19"/>
  <c r="AE157" i="19"/>
  <c r="AE134" i="19"/>
  <c r="AE129" i="19"/>
  <c r="AE139" i="19"/>
  <c r="AE118" i="19"/>
  <c r="AE123" i="19"/>
  <c r="AE113" i="19"/>
  <c r="AE97" i="19"/>
  <c r="AE107" i="19"/>
  <c r="AE86" i="19"/>
  <c r="AE56" i="19"/>
  <c r="AE36" i="19"/>
  <c r="AE41" i="19"/>
  <c r="AE31" i="19"/>
  <c r="V24" i="19"/>
  <c r="R25" i="19"/>
  <c r="V25" i="19" s="1"/>
  <c r="V21" i="19"/>
  <c r="R22" i="19"/>
  <c r="V22" i="19" s="1"/>
  <c r="V19" i="19"/>
  <c r="R20" i="19"/>
  <c r="V20" i="19" s="1"/>
  <c r="V16" i="19"/>
  <c r="R17" i="19"/>
  <c r="V17" i="19" s="1"/>
  <c r="V14" i="19"/>
  <c r="V15" i="19"/>
  <c r="R12" i="19"/>
  <c r="V12" i="19"/>
  <c r="V11" i="19"/>
  <c r="AE15" i="19"/>
  <c r="AF25" i="19"/>
  <c r="AF20" i="19"/>
  <c r="AF15" i="19"/>
  <c r="AB91" i="19"/>
  <c r="AE91" i="19" s="1"/>
  <c r="AE81" i="19"/>
  <c r="AB25" i="19"/>
  <c r="AE25" i="19" s="1"/>
  <c r="AB20" i="19"/>
  <c r="AE20" i="19" s="1"/>
  <c r="AE102" i="19"/>
  <c r="AI147" i="19"/>
  <c r="AF102" i="19"/>
  <c r="AF184" i="19"/>
  <c r="AI184" i="19" s="1"/>
  <c r="AD184" i="19"/>
  <c r="AE184" i="19"/>
  <c r="N87" i="17"/>
  <c r="O87" i="17"/>
  <c r="R87" i="17"/>
  <c r="N86" i="17"/>
  <c r="R86" i="17"/>
  <c r="O86" i="17"/>
  <c r="N85" i="17"/>
  <c r="P85" i="17" s="1"/>
  <c r="O85" i="17"/>
  <c r="O83" i="17"/>
  <c r="N83" i="17"/>
  <c r="P83" i="17" s="1"/>
  <c r="N82" i="17"/>
  <c r="P82" i="17" s="1"/>
  <c r="O82" i="17"/>
  <c r="O81" i="17"/>
  <c r="N81" i="17"/>
  <c r="P81" i="17" s="1"/>
  <c r="O80" i="17"/>
  <c r="N80" i="17"/>
  <c r="P80" i="17" s="1"/>
  <c r="O79" i="17"/>
  <c r="R79" i="17"/>
  <c r="N79" i="17"/>
  <c r="R78" i="17"/>
  <c r="N78" i="17"/>
  <c r="O78" i="17"/>
  <c r="O77" i="17"/>
  <c r="N77" i="17"/>
  <c r="P77" i="17" s="1"/>
  <c r="N76" i="17"/>
  <c r="P76" i="17" s="1"/>
  <c r="O76" i="17"/>
  <c r="O75" i="17"/>
  <c r="N75" i="17"/>
  <c r="P75" i="17" s="1"/>
  <c r="O74" i="17"/>
  <c r="N74" i="17"/>
  <c r="P74" i="17" s="1"/>
  <c r="N73" i="17"/>
  <c r="P73" i="17" s="1"/>
  <c r="O73" i="17"/>
  <c r="O72" i="17"/>
  <c r="N72" i="17"/>
  <c r="P72" i="17" s="1"/>
  <c r="R71" i="17"/>
  <c r="N71" i="17"/>
  <c r="O71" i="17"/>
  <c r="N70" i="17"/>
  <c r="R70" i="17"/>
  <c r="O70" i="17"/>
  <c r="N69" i="17"/>
  <c r="P69" i="17" s="1"/>
  <c r="O69" i="17"/>
  <c r="O68" i="17"/>
  <c r="N68" i="17"/>
  <c r="P68" i="17" s="1"/>
  <c r="N67" i="17"/>
  <c r="P67" i="17" s="1"/>
  <c r="O67" i="17"/>
  <c r="O66" i="17"/>
  <c r="N66" i="17"/>
  <c r="P66" i="17" s="1"/>
  <c r="N65" i="17"/>
  <c r="P65" i="17" s="1"/>
  <c r="O65" i="17"/>
  <c r="N64" i="17"/>
  <c r="P64" i="17" s="1"/>
  <c r="O64" i="17"/>
  <c r="R60" i="17"/>
  <c r="O60" i="17"/>
  <c r="N60" i="17"/>
  <c r="N59" i="17"/>
  <c r="O59" i="17"/>
  <c r="R59" i="17"/>
  <c r="O58" i="17"/>
  <c r="N58" i="17"/>
  <c r="P58" i="17" s="1"/>
  <c r="O57" i="17"/>
  <c r="N57" i="17"/>
  <c r="P57" i="17" s="1"/>
  <c r="O56" i="17"/>
  <c r="N56" i="17"/>
  <c r="P56" i="17" s="1"/>
  <c r="O55" i="17"/>
  <c r="N55" i="17"/>
  <c r="P55" i="17" s="1"/>
  <c r="O54" i="17"/>
  <c r="N54" i="17"/>
  <c r="P54" i="17" s="1"/>
  <c r="O53" i="17"/>
  <c r="N53" i="17"/>
  <c r="P53" i="17" s="1"/>
  <c r="N52" i="17"/>
  <c r="R52" i="17"/>
  <c r="O52" i="17"/>
  <c r="O51" i="17"/>
  <c r="R51" i="17"/>
  <c r="N51" i="17"/>
  <c r="O50" i="17"/>
  <c r="N50" i="17"/>
  <c r="P50" i="17" s="1"/>
  <c r="N49" i="17"/>
  <c r="P49" i="17" s="1"/>
  <c r="O49" i="17"/>
  <c r="O47" i="17"/>
  <c r="N47" i="17"/>
  <c r="P47" i="17" s="1"/>
  <c r="O46" i="17"/>
  <c r="N46" i="17"/>
  <c r="P46" i="17" s="1"/>
  <c r="O45" i="17"/>
  <c r="N45" i="17"/>
  <c r="P45" i="17" s="1"/>
  <c r="N44" i="17"/>
  <c r="R44" i="17"/>
  <c r="O44" i="17"/>
  <c r="N43" i="17"/>
  <c r="O43" i="17"/>
  <c r="R43" i="17"/>
  <c r="N42" i="17"/>
  <c r="P42" i="17" s="1"/>
  <c r="O42" i="17"/>
  <c r="N41" i="17"/>
  <c r="P41" i="17" s="1"/>
  <c r="O41" i="17"/>
  <c r="N40" i="17"/>
  <c r="P40" i="17" s="1"/>
  <c r="O40" i="17"/>
  <c r="O39" i="17"/>
  <c r="N39" i="17"/>
  <c r="P39" i="17" s="1"/>
  <c r="O38" i="17"/>
  <c r="N38" i="17"/>
  <c r="P38" i="17" s="1"/>
  <c r="N37" i="17"/>
  <c r="P37" i="17" s="1"/>
  <c r="O37" i="17"/>
  <c r="N33" i="17"/>
  <c r="R33" i="17"/>
  <c r="O33" i="17"/>
  <c r="R32" i="17"/>
  <c r="N32" i="17"/>
  <c r="O32" i="17"/>
  <c r="N31" i="17"/>
  <c r="P31" i="17" s="1"/>
  <c r="O31" i="17"/>
  <c r="N30" i="17"/>
  <c r="P30" i="17" s="1"/>
  <c r="O30" i="17"/>
  <c r="O29" i="17"/>
  <c r="N29" i="17"/>
  <c r="P29" i="17" s="1"/>
  <c r="O28" i="17"/>
  <c r="N28" i="17"/>
  <c r="P28" i="17" s="1"/>
  <c r="O27" i="17"/>
  <c r="N27" i="17"/>
  <c r="P27" i="17" s="1"/>
  <c r="N26" i="17"/>
  <c r="P26" i="17" s="1"/>
  <c r="O26" i="17"/>
  <c r="N25" i="17"/>
  <c r="R25" i="17"/>
  <c r="O25" i="17"/>
  <c r="R24" i="17"/>
  <c r="O24" i="17"/>
  <c r="N24" i="17"/>
  <c r="N23" i="17"/>
  <c r="P23" i="17" s="1"/>
  <c r="O23" i="17"/>
  <c r="O22" i="17"/>
  <c r="N22" i="17"/>
  <c r="P22" i="17" s="1"/>
  <c r="O21" i="17"/>
  <c r="N21" i="17"/>
  <c r="P21" i="17" s="1"/>
  <c r="N20" i="17"/>
  <c r="P20" i="17" s="1"/>
  <c r="O20" i="17"/>
  <c r="N19" i="17"/>
  <c r="P19" i="17" s="1"/>
  <c r="O19" i="17"/>
  <c r="N18" i="17"/>
  <c r="P18" i="17" s="1"/>
  <c r="O18" i="17"/>
  <c r="N17" i="17"/>
  <c r="O17" i="17"/>
  <c r="R17" i="17"/>
  <c r="N16" i="17"/>
  <c r="O16" i="17"/>
  <c r="R16" i="17"/>
  <c r="N15" i="17"/>
  <c r="P15" i="17" s="1"/>
  <c r="O15" i="17"/>
  <c r="N13" i="17"/>
  <c r="P13" i="17" s="1"/>
  <c r="O13" i="17"/>
  <c r="N12" i="17"/>
  <c r="P12" i="17" s="1"/>
  <c r="O12" i="17"/>
  <c r="O10" i="17"/>
  <c r="N10" i="17"/>
  <c r="P10" i="17" s="1"/>
  <c r="N87" i="16"/>
  <c r="R87" i="16"/>
  <c r="O87" i="16"/>
  <c r="R86" i="16"/>
  <c r="O86" i="16"/>
  <c r="N86" i="16"/>
  <c r="N85" i="16"/>
  <c r="P85" i="16" s="1"/>
  <c r="O85" i="16"/>
  <c r="O84" i="16"/>
  <c r="N84" i="16"/>
  <c r="P84" i="16" s="1"/>
  <c r="O83" i="16"/>
  <c r="N83" i="16"/>
  <c r="P83" i="16" s="1"/>
  <c r="O81" i="16"/>
  <c r="N81" i="16"/>
  <c r="P81" i="16" s="1"/>
  <c r="N80" i="16"/>
  <c r="P80" i="16" s="1"/>
  <c r="O80" i="16"/>
  <c r="R79" i="16"/>
  <c r="O79" i="16"/>
  <c r="N79" i="16"/>
  <c r="R78" i="16"/>
  <c r="O78" i="16"/>
  <c r="N78" i="16"/>
  <c r="N77" i="16"/>
  <c r="P77" i="16" s="1"/>
  <c r="O77" i="16"/>
  <c r="N76" i="16"/>
  <c r="P76" i="16" s="1"/>
  <c r="O76" i="16"/>
  <c r="N75" i="16"/>
  <c r="P75" i="16" s="1"/>
  <c r="O75" i="16"/>
  <c r="O74" i="16"/>
  <c r="N74" i="16"/>
  <c r="P74" i="16" s="1"/>
  <c r="N73" i="16"/>
  <c r="P73" i="16" s="1"/>
  <c r="O73" i="16"/>
  <c r="O72" i="16"/>
  <c r="N72" i="16"/>
  <c r="P72" i="16" s="1"/>
  <c r="R71" i="16"/>
  <c r="O71" i="16"/>
  <c r="N71" i="16"/>
  <c r="R70" i="16"/>
  <c r="N70" i="16"/>
  <c r="O70" i="16"/>
  <c r="O69" i="16"/>
  <c r="N69" i="16"/>
  <c r="P69" i="16" s="1"/>
  <c r="N68" i="16"/>
  <c r="P68" i="16" s="1"/>
  <c r="O68" i="16"/>
  <c r="N67" i="16"/>
  <c r="P67" i="16" s="1"/>
  <c r="O67" i="16"/>
  <c r="N66" i="16"/>
  <c r="P66" i="16" s="1"/>
  <c r="O66" i="16"/>
  <c r="O65" i="16"/>
  <c r="N65" i="16"/>
  <c r="P65" i="16" s="1"/>
  <c r="O64" i="16"/>
  <c r="N64" i="16"/>
  <c r="P64" i="16" s="1"/>
  <c r="R60" i="16"/>
  <c r="O60" i="16"/>
  <c r="N60" i="16"/>
  <c r="N59" i="16"/>
  <c r="O59" i="16"/>
  <c r="R59" i="16"/>
  <c r="O58" i="16"/>
  <c r="N58" i="16"/>
  <c r="P58" i="16" s="1"/>
  <c r="N57" i="16"/>
  <c r="P57" i="16" s="1"/>
  <c r="O57" i="16"/>
  <c r="N56" i="16"/>
  <c r="P56" i="16" s="1"/>
  <c r="O56" i="16"/>
  <c r="N55" i="16"/>
  <c r="P55" i="16" s="1"/>
  <c r="O55" i="16"/>
  <c r="N54" i="16"/>
  <c r="P54" i="16" s="1"/>
  <c r="O54" i="16"/>
  <c r="N53" i="16"/>
  <c r="P53" i="16" s="1"/>
  <c r="O53" i="16"/>
  <c r="O52" i="16"/>
  <c r="N52" i="16"/>
  <c r="R52" i="16"/>
  <c r="O51" i="16"/>
  <c r="N51" i="16"/>
  <c r="R51" i="16"/>
  <c r="O50" i="16"/>
  <c r="N50" i="16"/>
  <c r="P50" i="16" s="1"/>
  <c r="O49" i="16"/>
  <c r="N49" i="16"/>
  <c r="P49" i="16" s="1"/>
  <c r="O48" i="16"/>
  <c r="N48" i="16"/>
  <c r="P48" i="16" s="1"/>
  <c r="N47" i="16"/>
  <c r="P47" i="16" s="1"/>
  <c r="O47" i="16"/>
  <c r="N46" i="16"/>
  <c r="P46" i="16" s="1"/>
  <c r="O46" i="16"/>
  <c r="N45" i="16"/>
  <c r="P45" i="16" s="1"/>
  <c r="O45" i="16"/>
  <c r="N44" i="16"/>
  <c r="R44" i="16"/>
  <c r="O44" i="16"/>
  <c r="N43" i="16"/>
  <c r="O43" i="16"/>
  <c r="R43" i="16"/>
  <c r="N42" i="16"/>
  <c r="P42" i="16" s="1"/>
  <c r="O42" i="16"/>
  <c r="N41" i="16"/>
  <c r="P41" i="16" s="1"/>
  <c r="O41" i="16"/>
  <c r="N40" i="16"/>
  <c r="P40" i="16" s="1"/>
  <c r="O40" i="16"/>
  <c r="N39" i="16"/>
  <c r="P39" i="16" s="1"/>
  <c r="O39" i="16"/>
  <c r="N38" i="16"/>
  <c r="P38" i="16" s="1"/>
  <c r="O38" i="16"/>
  <c r="O37" i="16"/>
  <c r="N37" i="16"/>
  <c r="P37" i="16" s="1"/>
  <c r="O33" i="16"/>
  <c r="R33" i="16"/>
  <c r="N33" i="16"/>
  <c r="R32" i="16"/>
  <c r="O32" i="16"/>
  <c r="N32" i="16"/>
  <c r="O31" i="16"/>
  <c r="N31" i="16"/>
  <c r="P31" i="16" s="1"/>
  <c r="O30" i="16"/>
  <c r="N30" i="16"/>
  <c r="P30" i="16" s="1"/>
  <c r="N29" i="16"/>
  <c r="P29" i="16" s="1"/>
  <c r="O29" i="16"/>
  <c r="N28" i="16"/>
  <c r="P28" i="16" s="1"/>
  <c r="O28" i="16"/>
  <c r="N27" i="16"/>
  <c r="P27" i="16" s="1"/>
  <c r="O27" i="16"/>
  <c r="O26" i="16"/>
  <c r="N26" i="16"/>
  <c r="P26" i="16" s="1"/>
  <c r="R25" i="16"/>
  <c r="N25" i="16"/>
  <c r="O25" i="16"/>
  <c r="P24" i="16"/>
  <c r="O24" i="16"/>
  <c r="R24" i="16"/>
  <c r="O23" i="16"/>
  <c r="N23" i="16"/>
  <c r="P23" i="16" s="1"/>
  <c r="N22" i="16"/>
  <c r="P22" i="16" s="1"/>
  <c r="O22" i="16"/>
  <c r="O21" i="16"/>
  <c r="N21" i="16"/>
  <c r="P21" i="16" s="1"/>
  <c r="O20" i="16"/>
  <c r="N20" i="16"/>
  <c r="P20" i="16" s="1"/>
  <c r="O19" i="16"/>
  <c r="N19" i="16"/>
  <c r="P19" i="16" s="1"/>
  <c r="O18" i="16"/>
  <c r="N18" i="16"/>
  <c r="O17" i="16"/>
  <c r="N17" i="16"/>
  <c r="R17" i="16"/>
  <c r="O16" i="16"/>
  <c r="R16" i="16"/>
  <c r="N16" i="16"/>
  <c r="N15" i="16"/>
  <c r="P15" i="16" s="1"/>
  <c r="O15" i="16"/>
  <c r="N14" i="16"/>
  <c r="P14" i="16" s="1"/>
  <c r="O14" i="16"/>
  <c r="N12" i="16"/>
  <c r="P12" i="16" s="1"/>
  <c r="O12" i="16"/>
  <c r="N11" i="16"/>
  <c r="P11" i="16" s="1"/>
  <c r="O11" i="16"/>
  <c r="N10" i="16"/>
  <c r="P10" i="16" s="1"/>
  <c r="O10" i="16"/>
  <c r="O87" i="15"/>
  <c r="N87" i="15"/>
  <c r="R87" i="15"/>
  <c r="N86" i="15"/>
  <c r="O86" i="15"/>
  <c r="R86" i="15"/>
  <c r="O84" i="15"/>
  <c r="N84" i="15"/>
  <c r="P84" i="15" s="1"/>
  <c r="O83" i="15"/>
  <c r="N83" i="15"/>
  <c r="P83" i="15" s="1"/>
  <c r="N82" i="15"/>
  <c r="P82" i="15" s="1"/>
  <c r="O82" i="15"/>
  <c r="O81" i="15"/>
  <c r="N81" i="15"/>
  <c r="P81" i="15" s="1"/>
  <c r="O80" i="15"/>
  <c r="N80" i="15"/>
  <c r="P80" i="15" s="1"/>
  <c r="R79" i="15"/>
  <c r="N79" i="15"/>
  <c r="O79" i="15"/>
  <c r="N78" i="15"/>
  <c r="R78" i="15"/>
  <c r="O78" i="15"/>
  <c r="O76" i="15"/>
  <c r="N76" i="15"/>
  <c r="P76" i="15" s="1"/>
  <c r="O75" i="15"/>
  <c r="N75" i="15"/>
  <c r="P75" i="15" s="1"/>
  <c r="N73" i="15"/>
  <c r="P73" i="15" s="1"/>
  <c r="O73" i="15"/>
  <c r="O72" i="15"/>
  <c r="N72" i="15"/>
  <c r="P72" i="15" s="1"/>
  <c r="O71" i="15"/>
  <c r="N71" i="15"/>
  <c r="R71" i="15"/>
  <c r="R70" i="15"/>
  <c r="O70" i="15"/>
  <c r="N70" i="15"/>
  <c r="N69" i="15"/>
  <c r="P69" i="15" s="1"/>
  <c r="O69" i="15"/>
  <c r="N68" i="15"/>
  <c r="P68" i="15" s="1"/>
  <c r="O68" i="15"/>
  <c r="N67" i="15"/>
  <c r="P67" i="15" s="1"/>
  <c r="O67" i="15"/>
  <c r="N66" i="15"/>
  <c r="P66" i="15" s="1"/>
  <c r="O66" i="15"/>
  <c r="N65" i="15"/>
  <c r="P65" i="15" s="1"/>
  <c r="O65" i="15"/>
  <c r="N64" i="15"/>
  <c r="P64" i="15" s="1"/>
  <c r="O64" i="15"/>
  <c r="O60" i="15"/>
  <c r="N60" i="15"/>
  <c r="R60" i="15"/>
  <c r="R59" i="15"/>
  <c r="O59" i="15"/>
  <c r="N59" i="15"/>
  <c r="N58" i="15"/>
  <c r="P58" i="15" s="1"/>
  <c r="O58" i="15"/>
  <c r="O57" i="15"/>
  <c r="N57" i="15"/>
  <c r="P57" i="15" s="1"/>
  <c r="O56" i="15"/>
  <c r="N56" i="15"/>
  <c r="P56" i="15" s="1"/>
  <c r="O55" i="15"/>
  <c r="N55" i="15"/>
  <c r="P55" i="15" s="1"/>
  <c r="O54" i="15"/>
  <c r="N54" i="15"/>
  <c r="P54" i="15" s="1"/>
  <c r="O53" i="15"/>
  <c r="N53" i="15"/>
  <c r="P53" i="15" s="1"/>
  <c r="O52" i="15"/>
  <c r="N52" i="15"/>
  <c r="R52" i="15"/>
  <c r="O51" i="15"/>
  <c r="R51" i="15"/>
  <c r="N51" i="15"/>
  <c r="O50" i="15"/>
  <c r="N50" i="15"/>
  <c r="P50" i="15" s="1"/>
  <c r="O49" i="15"/>
  <c r="N49" i="15"/>
  <c r="P49" i="15" s="1"/>
  <c r="O48" i="15"/>
  <c r="N48" i="15"/>
  <c r="P48" i="15" s="1"/>
  <c r="N47" i="15"/>
  <c r="P47" i="15" s="1"/>
  <c r="O47" i="15"/>
  <c r="N46" i="15"/>
  <c r="P46" i="15" s="1"/>
  <c r="O46" i="15"/>
  <c r="N45" i="15"/>
  <c r="P45" i="15" s="1"/>
  <c r="O45" i="15"/>
  <c r="R44" i="15"/>
  <c r="N44" i="15"/>
  <c r="O44" i="15"/>
  <c r="O43" i="15"/>
  <c r="N43" i="15"/>
  <c r="R43" i="15"/>
  <c r="N42" i="15"/>
  <c r="P42" i="15" s="1"/>
  <c r="O42" i="15"/>
  <c r="N41" i="15"/>
  <c r="P41" i="15" s="1"/>
  <c r="O41" i="15"/>
  <c r="O39" i="15"/>
  <c r="N39" i="15"/>
  <c r="P39" i="15" s="1"/>
  <c r="O38" i="15"/>
  <c r="N38" i="15"/>
  <c r="P38" i="15" s="1"/>
  <c r="O37" i="15"/>
  <c r="N37" i="15"/>
  <c r="P37" i="15" s="1"/>
  <c r="N33" i="15"/>
  <c r="O33" i="15"/>
  <c r="R33" i="15"/>
  <c r="N32" i="15"/>
  <c r="O32" i="15"/>
  <c r="R32" i="15"/>
  <c r="N31" i="15"/>
  <c r="P31" i="15" s="1"/>
  <c r="O31" i="15"/>
  <c r="O30" i="15"/>
  <c r="N30" i="15"/>
  <c r="P30" i="15" s="1"/>
  <c r="N29" i="15"/>
  <c r="P29" i="15" s="1"/>
  <c r="O29" i="15"/>
  <c r="N28" i="15"/>
  <c r="P28" i="15" s="1"/>
  <c r="O28" i="15"/>
  <c r="O27" i="15"/>
  <c r="N27" i="15"/>
  <c r="P27" i="15" s="1"/>
  <c r="N26" i="15"/>
  <c r="P26" i="15" s="1"/>
  <c r="O26" i="15"/>
  <c r="N25" i="15"/>
  <c r="R25" i="15"/>
  <c r="O25" i="15"/>
  <c r="R24" i="15"/>
  <c r="N24" i="15"/>
  <c r="O24" i="15"/>
  <c r="N23" i="15"/>
  <c r="P23" i="15" s="1"/>
  <c r="O23" i="15"/>
  <c r="O22" i="15"/>
  <c r="N22" i="15"/>
  <c r="P22" i="15" s="1"/>
  <c r="N21" i="15"/>
  <c r="P21" i="15" s="1"/>
  <c r="O21" i="15"/>
  <c r="N19" i="15"/>
  <c r="P19" i="15" s="1"/>
  <c r="O19" i="15"/>
  <c r="O18" i="15"/>
  <c r="N18" i="15"/>
  <c r="P18" i="15" s="1"/>
  <c r="R17" i="15"/>
  <c r="O17" i="15"/>
  <c r="N17" i="15"/>
  <c r="N16" i="15"/>
  <c r="O16" i="15"/>
  <c r="R16" i="15"/>
  <c r="O15" i="15"/>
  <c r="N15" i="15"/>
  <c r="P15" i="15" s="1"/>
  <c r="O14" i="15"/>
  <c r="N14" i="15"/>
  <c r="P14" i="15" s="1"/>
  <c r="N13" i="15"/>
  <c r="P13" i="15" s="1"/>
  <c r="O13" i="15"/>
  <c r="O12" i="15"/>
  <c r="N12" i="15"/>
  <c r="P12" i="15" s="1"/>
  <c r="O11" i="15"/>
  <c r="N11" i="15"/>
  <c r="P11" i="15" s="1"/>
  <c r="O10" i="15"/>
  <c r="N10" i="15"/>
  <c r="P10" i="15" s="1"/>
  <c r="O87" i="14"/>
  <c r="N87" i="14"/>
  <c r="R87" i="14"/>
  <c r="O86" i="14"/>
  <c r="N86" i="14"/>
  <c r="R86" i="14"/>
  <c r="N84" i="14"/>
  <c r="P84" i="14" s="1"/>
  <c r="O84" i="14"/>
  <c r="N83" i="14"/>
  <c r="P83" i="14" s="1"/>
  <c r="O83" i="14"/>
  <c r="N81" i="14"/>
  <c r="P81" i="14" s="1"/>
  <c r="O81" i="14"/>
  <c r="N80" i="14"/>
  <c r="P80" i="14" s="1"/>
  <c r="O80" i="14"/>
  <c r="O79" i="14"/>
  <c r="N79" i="14"/>
  <c r="R79" i="14"/>
  <c r="O78" i="14"/>
  <c r="N78" i="14"/>
  <c r="R78" i="14"/>
  <c r="N77" i="14"/>
  <c r="P77" i="14" s="1"/>
  <c r="O77" i="14"/>
  <c r="O76" i="14"/>
  <c r="N76" i="14"/>
  <c r="P76" i="14" s="1"/>
  <c r="O75" i="14"/>
  <c r="N75" i="14"/>
  <c r="P75" i="14" s="1"/>
  <c r="O74" i="14"/>
  <c r="N74" i="14"/>
  <c r="P74" i="14" s="1"/>
  <c r="O73" i="14"/>
  <c r="N73" i="14"/>
  <c r="P73" i="14" s="1"/>
  <c r="N72" i="14"/>
  <c r="P72" i="14" s="1"/>
  <c r="O72" i="14"/>
  <c r="O71" i="14"/>
  <c r="R71" i="14"/>
  <c r="N71" i="14"/>
  <c r="R70" i="14"/>
  <c r="O70" i="14"/>
  <c r="N70" i="14"/>
  <c r="N69" i="14"/>
  <c r="P69" i="14" s="1"/>
  <c r="O69" i="14"/>
  <c r="O68" i="14"/>
  <c r="N68" i="14"/>
  <c r="P68" i="14" s="1"/>
  <c r="N67" i="14"/>
  <c r="P67" i="14" s="1"/>
  <c r="O67" i="14"/>
  <c r="N66" i="14"/>
  <c r="P66" i="14" s="1"/>
  <c r="O66" i="14"/>
  <c r="O65" i="14"/>
  <c r="N65" i="14"/>
  <c r="P65" i="14" s="1"/>
  <c r="O64" i="14"/>
  <c r="N64" i="14"/>
  <c r="P64" i="14" s="1"/>
  <c r="R60" i="14"/>
  <c r="O60" i="14"/>
  <c r="N60" i="14"/>
  <c r="O59" i="14"/>
  <c r="N59" i="14"/>
  <c r="R59" i="14"/>
  <c r="O58" i="14"/>
  <c r="N58" i="14"/>
  <c r="P58" i="14" s="1"/>
  <c r="N57" i="14"/>
  <c r="P57" i="14" s="1"/>
  <c r="O57" i="14"/>
  <c r="O56" i="14"/>
  <c r="N56" i="14"/>
  <c r="P56" i="14" s="1"/>
  <c r="O55" i="14"/>
  <c r="N55" i="14"/>
  <c r="P55" i="14" s="1"/>
  <c r="N54" i="14"/>
  <c r="P54" i="14" s="1"/>
  <c r="O54" i="14"/>
  <c r="N53" i="14"/>
  <c r="P53" i="14" s="1"/>
  <c r="O53" i="14"/>
  <c r="R52" i="14"/>
  <c r="O52" i="14"/>
  <c r="N52" i="14"/>
  <c r="O51" i="14"/>
  <c r="N51" i="14"/>
  <c r="R51" i="14"/>
  <c r="O50" i="14"/>
  <c r="N50" i="14"/>
  <c r="P50" i="14" s="1"/>
  <c r="O49" i="14"/>
  <c r="N49" i="14"/>
  <c r="P49" i="14" s="1"/>
  <c r="O48" i="14"/>
  <c r="N48" i="14"/>
  <c r="P48" i="14" s="1"/>
  <c r="O47" i="14"/>
  <c r="N47" i="14"/>
  <c r="P47" i="14" s="1"/>
  <c r="N46" i="14"/>
  <c r="P46" i="14" s="1"/>
  <c r="O46" i="14"/>
  <c r="N45" i="14"/>
  <c r="P45" i="14" s="1"/>
  <c r="O45" i="14"/>
  <c r="O44" i="14"/>
  <c r="N44" i="14"/>
  <c r="R44" i="14"/>
  <c r="R43" i="14"/>
  <c r="N43" i="14"/>
  <c r="O43" i="14"/>
  <c r="N42" i="14"/>
  <c r="P42" i="14" s="1"/>
  <c r="O42" i="14"/>
  <c r="O41" i="14"/>
  <c r="N41" i="14"/>
  <c r="P41" i="14" s="1"/>
  <c r="N40" i="14"/>
  <c r="P40" i="14" s="1"/>
  <c r="O40" i="14"/>
  <c r="O39" i="14"/>
  <c r="N39" i="14"/>
  <c r="P39" i="14" s="1"/>
  <c r="N38" i="14"/>
  <c r="P38" i="14" s="1"/>
  <c r="O38" i="14"/>
  <c r="N37" i="14"/>
  <c r="P37" i="14" s="1"/>
  <c r="O37" i="14"/>
  <c r="R33" i="14"/>
  <c r="N33" i="14"/>
  <c r="O33" i="14"/>
  <c r="O32" i="14"/>
  <c r="R32" i="14"/>
  <c r="N32" i="14"/>
  <c r="O31" i="14"/>
  <c r="N31" i="14"/>
  <c r="P31" i="14" s="1"/>
  <c r="O30" i="14"/>
  <c r="N30" i="14"/>
  <c r="P30" i="14" s="1"/>
  <c r="O29" i="14"/>
  <c r="N29" i="14"/>
  <c r="P29" i="14" s="1"/>
  <c r="O28" i="14"/>
  <c r="N28" i="14"/>
  <c r="P28" i="14" s="1"/>
  <c r="O27" i="14"/>
  <c r="N27" i="14"/>
  <c r="P27" i="14" s="1"/>
  <c r="O26" i="14"/>
  <c r="N26" i="14"/>
  <c r="P26" i="14" s="1"/>
  <c r="O25" i="14"/>
  <c r="N25" i="14"/>
  <c r="R25" i="14"/>
  <c r="R24" i="14"/>
  <c r="N24" i="14"/>
  <c r="O24" i="14"/>
  <c r="O23" i="14"/>
  <c r="N23" i="14"/>
  <c r="P23" i="14" s="1"/>
  <c r="O22" i="14"/>
  <c r="N22" i="14"/>
  <c r="P22" i="14" s="1"/>
  <c r="N21" i="14"/>
  <c r="P21" i="14" s="1"/>
  <c r="O21" i="14"/>
  <c r="O20" i="14"/>
  <c r="N20" i="14"/>
  <c r="P20" i="14" s="1"/>
  <c r="O19" i="14"/>
  <c r="N19" i="14"/>
  <c r="P19" i="14" s="1"/>
  <c r="O18" i="14"/>
  <c r="N18" i="14"/>
  <c r="P18" i="14" s="1"/>
  <c r="N17" i="14"/>
  <c r="R17" i="14"/>
  <c r="O17" i="14"/>
  <c r="N16" i="14"/>
  <c r="R16" i="14"/>
  <c r="O16" i="14"/>
  <c r="N15" i="14"/>
  <c r="P15" i="14" s="1"/>
  <c r="O15" i="14"/>
  <c r="N13" i="14"/>
  <c r="P13" i="14" s="1"/>
  <c r="O13" i="14"/>
  <c r="N12" i="14"/>
  <c r="P12" i="14" s="1"/>
  <c r="O12" i="14"/>
  <c r="N10" i="14"/>
  <c r="P10" i="14" s="1"/>
  <c r="O10" i="14"/>
  <c r="P87" i="13"/>
  <c r="O87" i="13"/>
  <c r="R87" i="13"/>
  <c r="N86" i="13"/>
  <c r="R86" i="13"/>
  <c r="O85" i="13"/>
  <c r="N85" i="13"/>
  <c r="P85" i="13" s="1"/>
  <c r="O84" i="13"/>
  <c r="N84" i="13"/>
  <c r="P84" i="13" s="1"/>
  <c r="O83" i="13"/>
  <c r="N83" i="13"/>
  <c r="P83" i="13" s="1"/>
  <c r="N82" i="13"/>
  <c r="P82" i="13" s="1"/>
  <c r="O82" i="13"/>
  <c r="N81" i="13"/>
  <c r="P81" i="13" s="1"/>
  <c r="O81" i="13"/>
  <c r="O80" i="13"/>
  <c r="N80" i="13"/>
  <c r="R79" i="13"/>
  <c r="N79" i="13"/>
  <c r="O79" i="13"/>
  <c r="N78" i="13"/>
  <c r="O78" i="13"/>
  <c r="R78" i="13"/>
  <c r="O77" i="13"/>
  <c r="N77" i="13"/>
  <c r="P77" i="13" s="1"/>
  <c r="N76" i="13"/>
  <c r="P76" i="13" s="1"/>
  <c r="O76" i="13"/>
  <c r="N75" i="13"/>
  <c r="P75" i="13" s="1"/>
  <c r="O75" i="13"/>
  <c r="N74" i="13"/>
  <c r="P74" i="13" s="1"/>
  <c r="O74" i="13"/>
  <c r="N73" i="13"/>
  <c r="P73" i="13" s="1"/>
  <c r="O73" i="13"/>
  <c r="O72" i="13"/>
  <c r="N72" i="13"/>
  <c r="P72" i="13" s="1"/>
  <c r="O71" i="13"/>
  <c r="N71" i="13"/>
  <c r="R71" i="13"/>
  <c r="N70" i="13"/>
  <c r="O70" i="13"/>
  <c r="R70" i="13"/>
  <c r="O69" i="13"/>
  <c r="N69" i="13"/>
  <c r="P69" i="13" s="1"/>
  <c r="O68" i="13"/>
  <c r="N68" i="13"/>
  <c r="P68" i="13" s="1"/>
  <c r="N67" i="13"/>
  <c r="P67" i="13" s="1"/>
  <c r="O67" i="13"/>
  <c r="N66" i="13"/>
  <c r="P66" i="13" s="1"/>
  <c r="O66" i="13"/>
  <c r="N65" i="13"/>
  <c r="P65" i="13" s="1"/>
  <c r="O65" i="13"/>
  <c r="O64" i="13"/>
  <c r="N64" i="13"/>
  <c r="P64" i="13" s="1"/>
  <c r="R60" i="13"/>
  <c r="O60" i="13"/>
  <c r="N60" i="13"/>
  <c r="O59" i="13"/>
  <c r="R59" i="13"/>
  <c r="N59" i="13"/>
  <c r="N58" i="13"/>
  <c r="P58" i="13" s="1"/>
  <c r="O58" i="13"/>
  <c r="O57" i="13"/>
  <c r="N57" i="13"/>
  <c r="P57" i="13" s="1"/>
  <c r="N56" i="13"/>
  <c r="P56" i="13" s="1"/>
  <c r="O56" i="13"/>
  <c r="N55" i="13"/>
  <c r="P55" i="13" s="1"/>
  <c r="O55" i="13"/>
  <c r="N54" i="13"/>
  <c r="P54" i="13" s="1"/>
  <c r="O54" i="13"/>
  <c r="O53" i="13"/>
  <c r="N53" i="13"/>
  <c r="P53" i="13" s="1"/>
  <c r="N52" i="13"/>
  <c r="O52" i="13"/>
  <c r="R52" i="13"/>
  <c r="N51" i="13"/>
  <c r="R51" i="13"/>
  <c r="O51" i="13"/>
  <c r="N50" i="13"/>
  <c r="P50" i="13" s="1"/>
  <c r="O50" i="13"/>
  <c r="N49" i="13"/>
  <c r="P49" i="13" s="1"/>
  <c r="O49" i="13"/>
  <c r="N48" i="13"/>
  <c r="P48" i="13" s="1"/>
  <c r="O48" i="13"/>
  <c r="N47" i="13"/>
  <c r="P47" i="13" s="1"/>
  <c r="O47" i="13"/>
  <c r="O46" i="13"/>
  <c r="N46" i="13"/>
  <c r="P46" i="13" s="1"/>
  <c r="N45" i="13"/>
  <c r="P45" i="13" s="1"/>
  <c r="O45" i="13"/>
  <c r="O44" i="13"/>
  <c r="R44" i="13"/>
  <c r="N44" i="13"/>
  <c r="N43" i="13"/>
  <c r="O43" i="13"/>
  <c r="R43" i="13"/>
  <c r="O42" i="13"/>
  <c r="N42" i="13"/>
  <c r="P42" i="13" s="1"/>
  <c r="N41" i="13"/>
  <c r="P41" i="13" s="1"/>
  <c r="O41" i="13"/>
  <c r="O40" i="13"/>
  <c r="N40" i="13"/>
  <c r="P40" i="13" s="1"/>
  <c r="N39" i="13"/>
  <c r="P39" i="13" s="1"/>
  <c r="O39" i="13"/>
  <c r="O38" i="13"/>
  <c r="N38" i="13"/>
  <c r="P38" i="13" s="1"/>
  <c r="N37" i="13"/>
  <c r="P37" i="13" s="1"/>
  <c r="O37" i="13"/>
  <c r="O33" i="13"/>
  <c r="R33" i="13"/>
  <c r="N33" i="13"/>
  <c r="O32" i="13"/>
  <c r="R32" i="13"/>
  <c r="N32" i="13"/>
  <c r="N31" i="13"/>
  <c r="P31" i="13" s="1"/>
  <c r="O31" i="13"/>
  <c r="N30" i="13"/>
  <c r="P30" i="13" s="1"/>
  <c r="O30" i="13"/>
  <c r="O29" i="13"/>
  <c r="N29" i="13"/>
  <c r="P29" i="13" s="1"/>
  <c r="N28" i="13"/>
  <c r="P28" i="13" s="1"/>
  <c r="O28" i="13"/>
  <c r="N27" i="13"/>
  <c r="P27" i="13" s="1"/>
  <c r="O27" i="13"/>
  <c r="N26" i="13"/>
  <c r="P26" i="13" s="1"/>
  <c r="O26" i="13"/>
  <c r="N25" i="13"/>
  <c r="R25" i="13"/>
  <c r="O25" i="13"/>
  <c r="R24" i="13"/>
  <c r="O24" i="13"/>
  <c r="N24" i="13"/>
  <c r="O23" i="13"/>
  <c r="N23" i="13"/>
  <c r="P23" i="13" s="1"/>
  <c r="O22" i="13"/>
  <c r="N22" i="13"/>
  <c r="P22" i="13" s="1"/>
  <c r="N21" i="13"/>
  <c r="P21" i="13" s="1"/>
  <c r="O21" i="13"/>
  <c r="N20" i="13"/>
  <c r="P20" i="13" s="1"/>
  <c r="O20" i="13"/>
  <c r="N19" i="13"/>
  <c r="P19" i="13" s="1"/>
  <c r="O19" i="13"/>
  <c r="O18" i="13"/>
  <c r="N18" i="13"/>
  <c r="P18" i="13" s="1"/>
  <c r="O17" i="13"/>
  <c r="N17" i="13"/>
  <c r="R17" i="13"/>
  <c r="R16" i="13"/>
  <c r="O16" i="13"/>
  <c r="N16" i="13"/>
  <c r="O14" i="13"/>
  <c r="N14" i="13"/>
  <c r="P14" i="13" s="1"/>
  <c r="N13" i="13"/>
  <c r="P13" i="13" s="1"/>
  <c r="O13" i="13"/>
  <c r="O12" i="13"/>
  <c r="N12" i="13"/>
  <c r="P12" i="13" s="1"/>
  <c r="O10" i="13"/>
  <c r="N10" i="13"/>
  <c r="P10" i="13" s="1"/>
  <c r="N87" i="12"/>
  <c r="O87" i="12"/>
  <c r="R87" i="12"/>
  <c r="R86" i="12"/>
  <c r="O86" i="12"/>
  <c r="N86" i="12"/>
  <c r="O83" i="12"/>
  <c r="N83" i="12"/>
  <c r="P83" i="12" s="1"/>
  <c r="O82" i="12"/>
  <c r="N82" i="12"/>
  <c r="P82" i="12" s="1"/>
  <c r="N81" i="12"/>
  <c r="P81" i="12" s="1"/>
  <c r="O81" i="12"/>
  <c r="O80" i="12"/>
  <c r="N80" i="12"/>
  <c r="P80" i="12" s="1"/>
  <c r="O79" i="12"/>
  <c r="R79" i="12"/>
  <c r="N79" i="12"/>
  <c r="N78" i="12"/>
  <c r="R78" i="12"/>
  <c r="O78" i="12"/>
  <c r="N77" i="12"/>
  <c r="P77" i="12" s="1"/>
  <c r="O77" i="12"/>
  <c r="N76" i="12"/>
  <c r="P76" i="12" s="1"/>
  <c r="O76" i="12"/>
  <c r="O75" i="12"/>
  <c r="N75" i="12"/>
  <c r="P75" i="12" s="1"/>
  <c r="O74" i="12"/>
  <c r="N74" i="12"/>
  <c r="P74" i="12" s="1"/>
  <c r="O73" i="12"/>
  <c r="N73" i="12"/>
  <c r="P73" i="12" s="1"/>
  <c r="O72" i="12"/>
  <c r="N72" i="12"/>
  <c r="P72" i="12" s="1"/>
  <c r="N71" i="12"/>
  <c r="O71" i="12"/>
  <c r="R71" i="12"/>
  <c r="O70" i="12"/>
  <c r="N70" i="12"/>
  <c r="R70" i="12"/>
  <c r="O69" i="12"/>
  <c r="N69" i="12"/>
  <c r="P69" i="12" s="1"/>
  <c r="O68" i="12"/>
  <c r="N68" i="12"/>
  <c r="P68" i="12" s="1"/>
  <c r="N67" i="12"/>
  <c r="P67" i="12" s="1"/>
  <c r="O67" i="12"/>
  <c r="N66" i="12"/>
  <c r="P66" i="12" s="1"/>
  <c r="O66" i="12"/>
  <c r="N65" i="12"/>
  <c r="P65" i="12" s="1"/>
  <c r="O65" i="12"/>
  <c r="O64" i="12"/>
  <c r="N64" i="12"/>
  <c r="P64" i="12" s="1"/>
  <c r="N60" i="12"/>
  <c r="O60" i="12"/>
  <c r="R60" i="12"/>
  <c r="R59" i="12"/>
  <c r="O59" i="12"/>
  <c r="N59" i="12"/>
  <c r="N58" i="12"/>
  <c r="P58" i="12" s="1"/>
  <c r="O58" i="12"/>
  <c r="N57" i="12"/>
  <c r="P57" i="12" s="1"/>
  <c r="O57" i="12"/>
  <c r="O56" i="12"/>
  <c r="N56" i="12"/>
  <c r="P56" i="12" s="1"/>
  <c r="O55" i="12"/>
  <c r="N55" i="12"/>
  <c r="P55" i="12" s="1"/>
  <c r="N54" i="12"/>
  <c r="P54" i="12" s="1"/>
  <c r="O54" i="12"/>
  <c r="N53" i="12"/>
  <c r="P53" i="12" s="1"/>
  <c r="O53" i="12"/>
  <c r="N52" i="12"/>
  <c r="R52" i="12"/>
  <c r="O52" i="12"/>
  <c r="N51" i="12"/>
  <c r="R51" i="12"/>
  <c r="O51" i="12"/>
  <c r="O50" i="12"/>
  <c r="N50" i="12"/>
  <c r="P50" i="12" s="1"/>
  <c r="O49" i="12"/>
  <c r="N49" i="12"/>
  <c r="P49" i="12" s="1"/>
  <c r="O48" i="12"/>
  <c r="N48" i="12"/>
  <c r="P48" i="12" s="1"/>
  <c r="O47" i="12"/>
  <c r="N47" i="12"/>
  <c r="P47" i="12" s="1"/>
  <c r="O46" i="12"/>
  <c r="N46" i="12"/>
  <c r="P46" i="12" s="1"/>
  <c r="O45" i="12"/>
  <c r="N45" i="12"/>
  <c r="P45" i="12" s="1"/>
  <c r="N44" i="12"/>
  <c r="R44" i="12"/>
  <c r="O44" i="12"/>
  <c r="N43" i="12"/>
  <c r="O43" i="12"/>
  <c r="R43" i="12"/>
  <c r="N42" i="12"/>
  <c r="P42" i="12" s="1"/>
  <c r="O42" i="12"/>
  <c r="O41" i="12"/>
  <c r="N41" i="12"/>
  <c r="P41" i="12" s="1"/>
  <c r="O40" i="12"/>
  <c r="N40" i="12"/>
  <c r="P40" i="12" s="1"/>
  <c r="N39" i="12"/>
  <c r="P39" i="12" s="1"/>
  <c r="O39" i="12"/>
  <c r="O38" i="12"/>
  <c r="N38" i="12"/>
  <c r="P38" i="12" s="1"/>
  <c r="N37" i="12"/>
  <c r="P37" i="12" s="1"/>
  <c r="O37" i="12"/>
  <c r="R33" i="12"/>
  <c r="O33" i="12"/>
  <c r="N33" i="12"/>
  <c r="N32" i="12"/>
  <c r="O32" i="12"/>
  <c r="R32" i="12"/>
  <c r="O31" i="12"/>
  <c r="N31" i="12"/>
  <c r="P31" i="12" s="1"/>
  <c r="O30" i="12"/>
  <c r="N30" i="12"/>
  <c r="P30" i="12" s="1"/>
  <c r="N29" i="12"/>
  <c r="P29" i="12" s="1"/>
  <c r="O29" i="12"/>
  <c r="N28" i="12"/>
  <c r="P28" i="12" s="1"/>
  <c r="O28" i="12"/>
  <c r="O27" i="12"/>
  <c r="N27" i="12"/>
  <c r="P27" i="12" s="1"/>
  <c r="N26" i="12"/>
  <c r="P26" i="12" s="1"/>
  <c r="O26" i="12"/>
  <c r="R25" i="12"/>
  <c r="N25" i="12"/>
  <c r="O25" i="12"/>
  <c r="O24" i="12"/>
  <c r="R24" i="12"/>
  <c r="N24" i="12"/>
  <c r="O23" i="12"/>
  <c r="N23" i="12"/>
  <c r="P23" i="12" s="1"/>
  <c r="O22" i="12"/>
  <c r="N22" i="12"/>
  <c r="P22" i="12" s="1"/>
  <c r="O21" i="12"/>
  <c r="N21" i="12"/>
  <c r="P21" i="12" s="1"/>
  <c r="N19" i="12"/>
  <c r="P19" i="12" s="1"/>
  <c r="O19" i="12"/>
  <c r="N18" i="12"/>
  <c r="P18" i="12" s="1"/>
  <c r="O18" i="12"/>
  <c r="O17" i="12"/>
  <c r="N17" i="12"/>
  <c r="R17" i="12"/>
  <c r="N16" i="12"/>
  <c r="R16" i="12"/>
  <c r="O16" i="12"/>
  <c r="N14" i="12"/>
  <c r="P14" i="12" s="1"/>
  <c r="O14" i="12"/>
  <c r="O13" i="12"/>
  <c r="N13" i="12"/>
  <c r="P13" i="12" s="1"/>
  <c r="N12" i="12"/>
  <c r="P12" i="12" s="1"/>
  <c r="O12" i="12"/>
  <c r="N11" i="12"/>
  <c r="P11" i="12" s="1"/>
  <c r="O11" i="12"/>
  <c r="O10" i="12"/>
  <c r="N10" i="12"/>
  <c r="P10" i="12" s="1"/>
  <c r="AI205" i="19"/>
  <c r="AI200" i="19"/>
  <c r="AI195" i="19"/>
  <c r="AI189" i="19"/>
  <c r="AI179" i="19"/>
  <c r="AI173" i="19"/>
  <c r="AI168" i="19"/>
  <c r="AI163" i="19"/>
  <c r="AI157" i="19"/>
  <c r="AI152" i="19"/>
  <c r="AI139" i="19"/>
  <c r="AI134" i="19"/>
  <c r="AI129" i="19"/>
  <c r="AI123" i="19"/>
  <c r="AI118" i="19"/>
  <c r="AI113" i="19"/>
  <c r="AI107" i="19"/>
  <c r="AI102" i="19"/>
  <c r="AI97" i="19"/>
  <c r="AI91" i="19"/>
  <c r="AI86" i="19"/>
  <c r="AI81" i="19"/>
  <c r="AI63" i="19"/>
  <c r="AI47" i="19"/>
  <c r="AI41" i="19"/>
  <c r="AI36" i="19"/>
  <c r="AI31" i="19"/>
  <c r="AI25" i="19"/>
  <c r="P35" i="11"/>
  <c r="N42" i="10"/>
  <c r="M42" i="10"/>
  <c r="O42" i="10" s="1"/>
  <c r="N16" i="10"/>
  <c r="M16" i="10"/>
  <c r="O16" i="10" s="1"/>
  <c r="M30" i="8"/>
  <c r="N30" i="8"/>
  <c r="P65" i="11"/>
  <c r="N65" i="11"/>
  <c r="M65" i="11"/>
  <c r="O65" i="11" s="1"/>
  <c r="Q65" i="11"/>
  <c r="M64" i="11"/>
  <c r="O64" i="11" s="1"/>
  <c r="N64" i="11"/>
  <c r="N62" i="11"/>
  <c r="M62" i="11"/>
  <c r="O62" i="11" s="1"/>
  <c r="M61" i="11"/>
  <c r="O61" i="11" s="1"/>
  <c r="N61" i="11"/>
  <c r="N60" i="11"/>
  <c r="M60" i="11"/>
  <c r="O60" i="11" s="1"/>
  <c r="M59" i="11"/>
  <c r="O59" i="11" s="1"/>
  <c r="N59" i="11"/>
  <c r="N58" i="11"/>
  <c r="M58" i="11"/>
  <c r="O58" i="11" s="1"/>
  <c r="M57" i="11"/>
  <c r="O57" i="11" s="1"/>
  <c r="N57" i="11"/>
  <c r="M56" i="11"/>
  <c r="O56" i="11" s="1"/>
  <c r="N56" i="11"/>
  <c r="P56" i="11"/>
  <c r="Q56" i="11"/>
  <c r="M55" i="11"/>
  <c r="O55" i="11" s="1"/>
  <c r="N55" i="11"/>
  <c r="N53" i="11"/>
  <c r="M53" i="11"/>
  <c r="O53" i="11" s="1"/>
  <c r="N52" i="11"/>
  <c r="M52" i="11"/>
  <c r="O52" i="11" s="1"/>
  <c r="N51" i="11"/>
  <c r="M51" i="11"/>
  <c r="O51" i="11" s="1"/>
  <c r="M50" i="11"/>
  <c r="O50" i="11" s="1"/>
  <c r="N50" i="11"/>
  <c r="M49" i="11"/>
  <c r="O49" i="11" s="1"/>
  <c r="N49" i="11"/>
  <c r="M48" i="11"/>
  <c r="O48" i="11" s="1"/>
  <c r="N48" i="11"/>
  <c r="P47" i="11"/>
  <c r="M47" i="11"/>
  <c r="O47" i="11" s="1"/>
  <c r="N47" i="11"/>
  <c r="Q47" i="11"/>
  <c r="M46" i="11"/>
  <c r="O46" i="11" s="1"/>
  <c r="N46" i="11"/>
  <c r="N44" i="11"/>
  <c r="M44" i="11"/>
  <c r="O44" i="11" s="1"/>
  <c r="M43" i="11"/>
  <c r="O43" i="11" s="1"/>
  <c r="N43" i="11"/>
  <c r="M42" i="11"/>
  <c r="O42" i="11" s="1"/>
  <c r="N42" i="11"/>
  <c r="M41" i="11"/>
  <c r="O41" i="11" s="1"/>
  <c r="N41" i="11"/>
  <c r="N40" i="11"/>
  <c r="M40" i="11"/>
  <c r="O40" i="11" s="1"/>
  <c r="M39" i="11"/>
  <c r="O39" i="11" s="1"/>
  <c r="N39" i="11"/>
  <c r="Q35" i="11"/>
  <c r="M35" i="11"/>
  <c r="O35" i="11" s="1"/>
  <c r="N35" i="11"/>
  <c r="M34" i="11"/>
  <c r="O34" i="11" s="1"/>
  <c r="N34" i="11"/>
  <c r="M32" i="11"/>
  <c r="O32" i="11" s="1"/>
  <c r="N32" i="11"/>
  <c r="M31" i="11"/>
  <c r="O31" i="11" s="1"/>
  <c r="N31" i="11"/>
  <c r="M30" i="11"/>
  <c r="O30" i="11" s="1"/>
  <c r="N30" i="11"/>
  <c r="M29" i="11"/>
  <c r="O29" i="11" s="1"/>
  <c r="N29" i="11"/>
  <c r="M28" i="11"/>
  <c r="O28" i="11" s="1"/>
  <c r="N28" i="11"/>
  <c r="M27" i="11"/>
  <c r="O27" i="11" s="1"/>
  <c r="N27" i="11"/>
  <c r="M26" i="11"/>
  <c r="O26" i="11" s="1"/>
  <c r="N26" i="11"/>
  <c r="P26" i="11"/>
  <c r="Q26" i="11"/>
  <c r="M25" i="11"/>
  <c r="O25" i="11" s="1"/>
  <c r="N25" i="11"/>
  <c r="M23" i="11"/>
  <c r="O23" i="11" s="1"/>
  <c r="N23" i="11"/>
  <c r="N22" i="11"/>
  <c r="M22" i="11"/>
  <c r="O22" i="11" s="1"/>
  <c r="M21" i="11"/>
  <c r="O21" i="11" s="1"/>
  <c r="N21" i="11"/>
  <c r="N20" i="11"/>
  <c r="M20" i="11"/>
  <c r="O20" i="11" s="1"/>
  <c r="N19" i="11"/>
  <c r="M19" i="11"/>
  <c r="O19" i="11" s="1"/>
  <c r="M18" i="11"/>
  <c r="O18" i="11" s="1"/>
  <c r="N18" i="11"/>
  <c r="P17" i="11"/>
  <c r="M17" i="11"/>
  <c r="O17" i="11" s="1"/>
  <c r="Q17" i="11"/>
  <c r="N17" i="11"/>
  <c r="M16" i="11"/>
  <c r="O16" i="11" s="1"/>
  <c r="N16" i="11"/>
  <c r="N14" i="11"/>
  <c r="M14" i="11"/>
  <c r="O14" i="11" s="1"/>
  <c r="M13" i="11"/>
  <c r="O13" i="11" s="1"/>
  <c r="N13" i="11"/>
  <c r="N12" i="11"/>
  <c r="M12" i="11"/>
  <c r="O12" i="11" s="1"/>
  <c r="N11" i="11"/>
  <c r="M11" i="11"/>
  <c r="O11" i="11" s="1"/>
  <c r="M10" i="11"/>
  <c r="O10" i="11" s="1"/>
  <c r="N10" i="11"/>
  <c r="N9" i="11"/>
  <c r="M9" i="11"/>
  <c r="O9" i="11" s="1"/>
  <c r="N65" i="10"/>
  <c r="P65" i="10"/>
  <c r="Q65" i="10"/>
  <c r="N64" i="10"/>
  <c r="M64" i="10"/>
  <c r="O64" i="10" s="1"/>
  <c r="M62" i="10"/>
  <c r="O62" i="10" s="1"/>
  <c r="N62" i="10"/>
  <c r="N61" i="10"/>
  <c r="M61" i="10"/>
  <c r="O61" i="10" s="1"/>
  <c r="M60" i="10"/>
  <c r="O60" i="10" s="1"/>
  <c r="N60" i="10"/>
  <c r="N59" i="10"/>
  <c r="M59" i="10"/>
  <c r="O59" i="10" s="1"/>
  <c r="M58" i="10"/>
  <c r="O58" i="10" s="1"/>
  <c r="N58" i="10"/>
  <c r="N57" i="10"/>
  <c r="M57" i="10"/>
  <c r="O57" i="10" s="1"/>
  <c r="M56" i="10"/>
  <c r="O56" i="10" s="1"/>
  <c r="N56" i="10"/>
  <c r="P56" i="10"/>
  <c r="Q56" i="10"/>
  <c r="M55" i="10"/>
  <c r="O55" i="10" s="1"/>
  <c r="N55" i="10"/>
  <c r="N53" i="10"/>
  <c r="M53" i="10"/>
  <c r="O53" i="10" s="1"/>
  <c r="N52" i="10"/>
  <c r="M52" i="10"/>
  <c r="O52" i="10" s="1"/>
  <c r="N51" i="10"/>
  <c r="M51" i="10"/>
  <c r="O51" i="10" s="1"/>
  <c r="N50" i="10"/>
  <c r="M50" i="10"/>
  <c r="O50" i="10" s="1"/>
  <c r="M49" i="10"/>
  <c r="O49" i="10" s="1"/>
  <c r="N49" i="10"/>
  <c r="N48" i="10"/>
  <c r="M48" i="10"/>
  <c r="O48" i="10" s="1"/>
  <c r="N47" i="10"/>
  <c r="P47" i="10"/>
  <c r="M47" i="10"/>
  <c r="O47" i="10" s="1"/>
  <c r="Q47" i="10"/>
  <c r="N46" i="10"/>
  <c r="M46" i="10"/>
  <c r="O46" i="10" s="1"/>
  <c r="M44" i="10"/>
  <c r="O44" i="10" s="1"/>
  <c r="N44" i="10"/>
  <c r="N43" i="10"/>
  <c r="M43" i="10"/>
  <c r="O43" i="10" s="1"/>
  <c r="N41" i="10"/>
  <c r="M41" i="10"/>
  <c r="O41" i="10" s="1"/>
  <c r="N40" i="10"/>
  <c r="M40" i="10"/>
  <c r="O40" i="10" s="1"/>
  <c r="M39" i="10"/>
  <c r="O39" i="10" s="1"/>
  <c r="N39" i="10"/>
  <c r="Q35" i="10"/>
  <c r="P35" i="10"/>
  <c r="M35" i="10"/>
  <c r="O35" i="10" s="1"/>
  <c r="N35" i="10"/>
  <c r="M34" i="10"/>
  <c r="O34" i="10" s="1"/>
  <c r="N34" i="10"/>
  <c r="M32" i="10"/>
  <c r="O32" i="10" s="1"/>
  <c r="N32" i="10"/>
  <c r="M31" i="10"/>
  <c r="O31" i="10" s="1"/>
  <c r="N31" i="10"/>
  <c r="M30" i="10"/>
  <c r="O30" i="10" s="1"/>
  <c r="N30" i="10"/>
  <c r="M29" i="10"/>
  <c r="O29" i="10" s="1"/>
  <c r="N29" i="10"/>
  <c r="M28" i="10"/>
  <c r="O28" i="10" s="1"/>
  <c r="N28" i="10"/>
  <c r="M27" i="10"/>
  <c r="O27" i="10" s="1"/>
  <c r="N27" i="10"/>
  <c r="N26" i="10"/>
  <c r="M26" i="10"/>
  <c r="O26" i="10" s="1"/>
  <c r="P26" i="10"/>
  <c r="Q26" i="10"/>
  <c r="M25" i="10"/>
  <c r="O25" i="10" s="1"/>
  <c r="N25" i="10"/>
  <c r="N23" i="10"/>
  <c r="M23" i="10"/>
  <c r="O23" i="10" s="1"/>
  <c r="M22" i="10"/>
  <c r="O22" i="10" s="1"/>
  <c r="N22" i="10"/>
  <c r="M21" i="10"/>
  <c r="O21" i="10" s="1"/>
  <c r="N21" i="10"/>
  <c r="M20" i="10"/>
  <c r="O20" i="10" s="1"/>
  <c r="N20" i="10"/>
  <c r="M19" i="10"/>
  <c r="O19" i="10" s="1"/>
  <c r="N19" i="10"/>
  <c r="N18" i="10"/>
  <c r="M18" i="10"/>
  <c r="O18" i="10" s="1"/>
  <c r="N17" i="10"/>
  <c r="M17" i="10"/>
  <c r="O17" i="10" s="1"/>
  <c r="Q17" i="10"/>
  <c r="P17" i="10"/>
  <c r="M14" i="10"/>
  <c r="O14" i="10" s="1"/>
  <c r="N14" i="10"/>
  <c r="N13" i="10"/>
  <c r="M13" i="10"/>
  <c r="O13" i="10" s="1"/>
  <c r="N12" i="10"/>
  <c r="M12" i="10"/>
  <c r="O12" i="10" s="1"/>
  <c r="N11" i="10"/>
  <c r="M11" i="10"/>
  <c r="O11" i="10" s="1"/>
  <c r="N10" i="10"/>
  <c r="M10" i="10"/>
  <c r="O10" i="10" s="1"/>
  <c r="N9" i="10"/>
  <c r="M9" i="10"/>
  <c r="O9" i="10" s="1"/>
  <c r="M65" i="9"/>
  <c r="O65" i="9" s="1"/>
  <c r="N65" i="9"/>
  <c r="Q65" i="9"/>
  <c r="P65" i="9"/>
  <c r="N64" i="9"/>
  <c r="M64" i="9"/>
  <c r="O64" i="9" s="1"/>
  <c r="M62" i="9"/>
  <c r="O62" i="9" s="1"/>
  <c r="N62" i="9"/>
  <c r="M61" i="9"/>
  <c r="O61" i="9" s="1"/>
  <c r="N61" i="9"/>
  <c r="M60" i="9"/>
  <c r="O60" i="9" s="1"/>
  <c r="N60" i="9"/>
  <c r="M59" i="9"/>
  <c r="O59" i="9" s="1"/>
  <c r="N59" i="9"/>
  <c r="M58" i="9"/>
  <c r="O58" i="9" s="1"/>
  <c r="N58" i="9"/>
  <c r="M57" i="9"/>
  <c r="O57" i="9" s="1"/>
  <c r="N57" i="9"/>
  <c r="P56" i="9"/>
  <c r="N56" i="9"/>
  <c r="Q56" i="9"/>
  <c r="M56" i="9"/>
  <c r="O56" i="9" s="1"/>
  <c r="N55" i="9"/>
  <c r="M55" i="9"/>
  <c r="O55" i="9" s="1"/>
  <c r="M53" i="9"/>
  <c r="O53" i="9" s="1"/>
  <c r="N53" i="9"/>
  <c r="M52" i="9"/>
  <c r="O52" i="9" s="1"/>
  <c r="N52" i="9"/>
  <c r="N51" i="9"/>
  <c r="M51" i="9"/>
  <c r="O51" i="9" s="1"/>
  <c r="N50" i="9"/>
  <c r="M50" i="9"/>
  <c r="O50" i="9" s="1"/>
  <c r="M49" i="9"/>
  <c r="O49" i="9" s="1"/>
  <c r="N49" i="9"/>
  <c r="N48" i="9"/>
  <c r="M48" i="9"/>
  <c r="O48" i="9" s="1"/>
  <c r="Q47" i="9"/>
  <c r="M47" i="9"/>
  <c r="O47" i="9" s="1"/>
  <c r="P47" i="9"/>
  <c r="N47" i="9"/>
  <c r="M46" i="9"/>
  <c r="O46" i="9" s="1"/>
  <c r="N46" i="9"/>
  <c r="M44" i="9"/>
  <c r="O44" i="9" s="1"/>
  <c r="N44" i="9"/>
  <c r="M43" i="9"/>
  <c r="O43" i="9" s="1"/>
  <c r="N43" i="9"/>
  <c r="M42" i="9"/>
  <c r="O42" i="9" s="1"/>
  <c r="N42" i="9"/>
  <c r="M41" i="9"/>
  <c r="O41" i="9" s="1"/>
  <c r="N41" i="9"/>
  <c r="M40" i="9"/>
  <c r="O40" i="9" s="1"/>
  <c r="N40" i="9"/>
  <c r="M39" i="9"/>
  <c r="O39" i="9" s="1"/>
  <c r="N39" i="9"/>
  <c r="N35" i="9"/>
  <c r="Q35" i="9"/>
  <c r="P35" i="9"/>
  <c r="M35" i="9"/>
  <c r="O35" i="9" s="1"/>
  <c r="N34" i="9"/>
  <c r="M34" i="9"/>
  <c r="O34" i="9" s="1"/>
  <c r="N32" i="9"/>
  <c r="M32" i="9"/>
  <c r="O32" i="9" s="1"/>
  <c r="M31" i="9"/>
  <c r="O31" i="9" s="1"/>
  <c r="N31" i="9"/>
  <c r="M30" i="9"/>
  <c r="O30" i="9" s="1"/>
  <c r="N30" i="9"/>
  <c r="M29" i="9"/>
  <c r="O29" i="9" s="1"/>
  <c r="N29" i="9"/>
  <c r="M28" i="9"/>
  <c r="O28" i="9" s="1"/>
  <c r="N28" i="9"/>
  <c r="N27" i="9"/>
  <c r="M27" i="9"/>
  <c r="O27" i="9" s="1"/>
  <c r="N26" i="9"/>
  <c r="P26" i="9"/>
  <c r="Q26" i="9"/>
  <c r="M26" i="9"/>
  <c r="O26" i="9" s="1"/>
  <c r="M25" i="9"/>
  <c r="O25" i="9" s="1"/>
  <c r="N25" i="9"/>
  <c r="N23" i="9"/>
  <c r="M23" i="9"/>
  <c r="O23" i="9" s="1"/>
  <c r="M22" i="9"/>
  <c r="O22" i="9" s="1"/>
  <c r="N22" i="9"/>
  <c r="N21" i="9"/>
  <c r="M21" i="9"/>
  <c r="O21" i="9" s="1"/>
  <c r="N20" i="9"/>
  <c r="M20" i="9"/>
  <c r="O20" i="9" s="1"/>
  <c r="N19" i="9"/>
  <c r="M19" i="9"/>
  <c r="O19" i="9" s="1"/>
  <c r="N18" i="9"/>
  <c r="M18" i="9"/>
  <c r="O18" i="9" s="1"/>
  <c r="M17" i="9"/>
  <c r="O17" i="9" s="1"/>
  <c r="P17" i="9"/>
  <c r="N17" i="9"/>
  <c r="Q17" i="9"/>
  <c r="M16" i="9"/>
  <c r="O16" i="9" s="1"/>
  <c r="N16" i="9"/>
  <c r="N14" i="9"/>
  <c r="M14" i="9"/>
  <c r="O14" i="9" s="1"/>
  <c r="N13" i="9"/>
  <c r="M13" i="9"/>
  <c r="O13" i="9" s="1"/>
  <c r="N12" i="9"/>
  <c r="M12" i="9"/>
  <c r="O12" i="9" s="1"/>
  <c r="N11" i="9"/>
  <c r="M11" i="9"/>
  <c r="O11" i="9" s="1"/>
  <c r="N10" i="9"/>
  <c r="M10" i="9"/>
  <c r="O10" i="9" s="1"/>
  <c r="N9" i="9"/>
  <c r="M9" i="9"/>
  <c r="O9" i="9" s="1"/>
  <c r="M47" i="8"/>
  <c r="N47" i="8"/>
  <c r="N45" i="8"/>
  <c r="M45" i="8"/>
  <c r="N44" i="8"/>
  <c r="M44" i="8"/>
  <c r="N43" i="8"/>
  <c r="M43" i="8"/>
  <c r="M42" i="8"/>
  <c r="N42" i="8"/>
  <c r="N41" i="8"/>
  <c r="M41" i="8"/>
  <c r="N40" i="8"/>
  <c r="M40" i="8"/>
  <c r="M39" i="8"/>
  <c r="N39" i="8"/>
  <c r="M38" i="8"/>
  <c r="N38" i="8"/>
  <c r="N37" i="8"/>
  <c r="M37" i="8"/>
  <c r="M36" i="8"/>
  <c r="N36" i="8"/>
  <c r="N35" i="8"/>
  <c r="M35" i="8"/>
  <c r="M34" i="8"/>
  <c r="N34" i="8"/>
  <c r="N33" i="8"/>
  <c r="M33" i="8"/>
  <c r="M32" i="8"/>
  <c r="N32" i="8"/>
  <c r="N31" i="8"/>
  <c r="M31" i="8"/>
  <c r="M26" i="8"/>
  <c r="N26" i="8"/>
  <c r="M25" i="8"/>
  <c r="N25" i="8"/>
  <c r="N24" i="8"/>
  <c r="M24" i="8"/>
  <c r="M23" i="8"/>
  <c r="N23" i="8"/>
  <c r="M22" i="8"/>
  <c r="N22" i="8"/>
  <c r="M21" i="8"/>
  <c r="N21" i="8"/>
  <c r="M20" i="8"/>
  <c r="N20" i="8"/>
  <c r="N19" i="8"/>
  <c r="M19" i="8"/>
  <c r="N18" i="8"/>
  <c r="M18" i="8"/>
  <c r="N17" i="8"/>
  <c r="M17" i="8"/>
  <c r="N16" i="8"/>
  <c r="M16" i="8"/>
  <c r="N15" i="8"/>
  <c r="M15" i="8"/>
  <c r="N14" i="8"/>
  <c r="M14" i="8"/>
  <c r="M13" i="8"/>
  <c r="N13" i="8"/>
  <c r="N12" i="8"/>
  <c r="M12" i="8"/>
  <c r="N11" i="8"/>
  <c r="M11" i="8"/>
  <c r="M10" i="8"/>
  <c r="N10" i="8"/>
  <c r="M9" i="8"/>
  <c r="N9" i="8"/>
  <c r="K20" i="2"/>
  <c r="K21" i="2"/>
  <c r="J20" i="2"/>
  <c r="J21" i="2"/>
  <c r="K19" i="2"/>
  <c r="J19" i="2"/>
  <c r="F21" i="2"/>
  <c r="E21" i="2"/>
  <c r="F20" i="2"/>
  <c r="E20" i="2"/>
  <c r="F19" i="2"/>
  <c r="E19" i="2"/>
  <c r="U14" i="2"/>
  <c r="T14" i="2"/>
  <c r="U13" i="2"/>
  <c r="T13" i="2"/>
  <c r="P14" i="2"/>
  <c r="O14" i="2"/>
  <c r="P13" i="2"/>
  <c r="O13" i="2"/>
  <c r="K14" i="2"/>
  <c r="J14" i="2"/>
  <c r="K13" i="2"/>
  <c r="J13" i="2"/>
  <c r="F14" i="2"/>
  <c r="F13" i="2"/>
  <c r="E14" i="2"/>
  <c r="E13" i="2"/>
  <c r="U5" i="2"/>
  <c r="U6" i="2"/>
  <c r="U7" i="2"/>
  <c r="U8" i="2"/>
  <c r="U4" i="2"/>
  <c r="T5" i="2"/>
  <c r="T6" i="2"/>
  <c r="T7" i="2"/>
  <c r="T8" i="2"/>
  <c r="T4" i="2"/>
  <c r="P5" i="2"/>
  <c r="P6" i="2"/>
  <c r="P7" i="2"/>
  <c r="P8" i="2"/>
  <c r="P4" i="2"/>
  <c r="O5" i="2"/>
  <c r="O6" i="2"/>
  <c r="O7" i="2"/>
  <c r="O8" i="2"/>
  <c r="O4" i="2"/>
  <c r="K8" i="2"/>
  <c r="J8" i="2"/>
  <c r="K7" i="2"/>
  <c r="J7" i="2"/>
  <c r="K6" i="2"/>
  <c r="J6" i="2"/>
  <c r="K5" i="2"/>
  <c r="J5" i="2"/>
  <c r="K4" i="2"/>
  <c r="J4" i="2"/>
  <c r="F6" i="2"/>
  <c r="F7" i="2"/>
  <c r="F8" i="2"/>
  <c r="E6" i="2"/>
  <c r="E7" i="2"/>
  <c r="E8" i="2"/>
  <c r="F5" i="2"/>
  <c r="F4" i="2"/>
  <c r="E5" i="2"/>
  <c r="E4" i="2"/>
  <c r="P87" i="17" l="1"/>
  <c r="Q87" i="17"/>
  <c r="P86" i="17"/>
  <c r="Q86" i="17"/>
  <c r="P79" i="17"/>
  <c r="Q79" i="17"/>
  <c r="P78" i="17"/>
  <c r="Q78" i="17"/>
  <c r="Q71" i="17"/>
  <c r="P71" i="17"/>
  <c r="P70" i="17"/>
  <c r="Q70" i="17"/>
  <c r="P60" i="17"/>
  <c r="Q60" i="17"/>
  <c r="P59" i="17"/>
  <c r="Q59" i="17"/>
  <c r="P52" i="17"/>
  <c r="Q52" i="17"/>
  <c r="P51" i="17"/>
  <c r="Q51" i="17"/>
  <c r="P44" i="17"/>
  <c r="Q44" i="17"/>
  <c r="Q43" i="17"/>
  <c r="P43" i="17"/>
  <c r="Q33" i="17"/>
  <c r="P33" i="17"/>
  <c r="P32" i="17"/>
  <c r="Q32" i="17"/>
  <c r="P25" i="17"/>
  <c r="Q25" i="17"/>
  <c r="P24" i="17"/>
  <c r="Q24" i="17"/>
  <c r="Q17" i="17"/>
  <c r="P17" i="17"/>
  <c r="Q16" i="17"/>
  <c r="P16" i="17"/>
  <c r="P87" i="16"/>
  <c r="Q87" i="16"/>
  <c r="P86" i="16"/>
  <c r="Q86" i="16"/>
  <c r="P79" i="16"/>
  <c r="Q79" i="16"/>
  <c r="Q78" i="16"/>
  <c r="P78" i="16"/>
  <c r="Q71" i="16"/>
  <c r="P71" i="16"/>
  <c r="Q70" i="16"/>
  <c r="P70" i="16"/>
  <c r="P60" i="16"/>
  <c r="Q60" i="16"/>
  <c r="Q59" i="16"/>
  <c r="P59" i="16"/>
  <c r="P52" i="16"/>
  <c r="Q52" i="16"/>
  <c r="Q51" i="16"/>
  <c r="P51" i="16"/>
  <c r="Q44" i="16"/>
  <c r="P44" i="16"/>
  <c r="P43" i="16"/>
  <c r="Q43" i="16"/>
  <c r="Q33" i="16"/>
  <c r="P33" i="16"/>
  <c r="P32" i="16"/>
  <c r="Q32" i="16"/>
  <c r="P25" i="16"/>
  <c r="Q25" i="16"/>
  <c r="P17" i="16"/>
  <c r="Q17" i="16"/>
  <c r="P16" i="16"/>
  <c r="Q16" i="16"/>
  <c r="P18" i="16"/>
  <c r="Q24" i="16"/>
  <c r="P87" i="15"/>
  <c r="Q87" i="15"/>
  <c r="P86" i="15"/>
  <c r="Q86" i="15"/>
  <c r="P79" i="15"/>
  <c r="Q79" i="15"/>
  <c r="Q78" i="15"/>
  <c r="P78" i="15"/>
  <c r="P71" i="15"/>
  <c r="Q71" i="15"/>
  <c r="P70" i="15"/>
  <c r="Q70" i="15"/>
  <c r="Q60" i="15"/>
  <c r="P60" i="15"/>
  <c r="Q59" i="15"/>
  <c r="P59" i="15"/>
  <c r="Q52" i="15"/>
  <c r="P52" i="15"/>
  <c r="P51" i="15"/>
  <c r="Q51" i="15"/>
  <c r="Q44" i="15"/>
  <c r="P44" i="15"/>
  <c r="P43" i="15"/>
  <c r="Q43" i="15"/>
  <c r="Q33" i="15"/>
  <c r="P33" i="15"/>
  <c r="P32" i="15"/>
  <c r="Q32" i="15"/>
  <c r="Q25" i="15"/>
  <c r="P25" i="15"/>
  <c r="Q24" i="15"/>
  <c r="P24" i="15"/>
  <c r="Q17" i="15"/>
  <c r="P17" i="15"/>
  <c r="Q16" i="15"/>
  <c r="P16" i="15"/>
  <c r="P87" i="14"/>
  <c r="Q87" i="14"/>
  <c r="P86" i="14"/>
  <c r="Q86" i="14"/>
  <c r="Q79" i="14"/>
  <c r="P79" i="14"/>
  <c r="P78" i="14"/>
  <c r="Q78" i="14"/>
  <c r="P71" i="14"/>
  <c r="Q71" i="14"/>
  <c r="P70" i="14"/>
  <c r="Q70" i="14"/>
  <c r="Q60" i="14"/>
  <c r="P60" i="14"/>
  <c r="Q59" i="14"/>
  <c r="P59" i="14"/>
  <c r="P52" i="14"/>
  <c r="Q52" i="14"/>
  <c r="Q51" i="14"/>
  <c r="P51" i="14"/>
  <c r="Q44" i="14"/>
  <c r="P44" i="14"/>
  <c r="P43" i="14"/>
  <c r="Q43" i="14"/>
  <c r="P33" i="14"/>
  <c r="Q33" i="14"/>
  <c r="P32" i="14"/>
  <c r="Q32" i="14"/>
  <c r="Q25" i="14"/>
  <c r="P25" i="14"/>
  <c r="Q24" i="14"/>
  <c r="P24" i="14"/>
  <c r="Q17" i="14"/>
  <c r="P17" i="14"/>
  <c r="P16" i="14"/>
  <c r="Q16" i="14"/>
  <c r="P86" i="13"/>
  <c r="Q86" i="13"/>
  <c r="P79" i="13"/>
  <c r="Q79" i="13"/>
  <c r="Q78" i="13"/>
  <c r="P78" i="13"/>
  <c r="Q71" i="13"/>
  <c r="P71" i="13"/>
  <c r="Q70" i="13"/>
  <c r="P70" i="13"/>
  <c r="Q60" i="13"/>
  <c r="P60" i="13"/>
  <c r="P59" i="13"/>
  <c r="Q59" i="13"/>
  <c r="P52" i="13"/>
  <c r="Q52" i="13"/>
  <c r="Q51" i="13"/>
  <c r="P51" i="13"/>
  <c r="Q44" i="13"/>
  <c r="P44" i="13"/>
  <c r="Q43" i="13"/>
  <c r="P43" i="13"/>
  <c r="P33" i="13"/>
  <c r="Q33" i="13"/>
  <c r="P32" i="13"/>
  <c r="Q32" i="13"/>
  <c r="Q25" i="13"/>
  <c r="P25" i="13"/>
  <c r="Q24" i="13"/>
  <c r="P24" i="13"/>
  <c r="P17" i="13"/>
  <c r="Q17" i="13"/>
  <c r="Q16" i="13"/>
  <c r="P16" i="13"/>
  <c r="P80" i="13"/>
  <c r="Q87" i="13"/>
  <c r="P87" i="12"/>
  <c r="Q87" i="12"/>
  <c r="P86" i="12"/>
  <c r="Q86" i="12"/>
  <c r="P79" i="12"/>
  <c r="Q79" i="12"/>
  <c r="P78" i="12"/>
  <c r="Q78" i="12"/>
  <c r="Q71" i="12"/>
  <c r="P71" i="12"/>
  <c r="Q70" i="12"/>
  <c r="P70" i="12"/>
  <c r="P60" i="12"/>
  <c r="Q60" i="12"/>
  <c r="Q59" i="12"/>
  <c r="P59" i="12"/>
  <c r="P52" i="12"/>
  <c r="Q52" i="12"/>
  <c r="P51" i="12"/>
  <c r="Q51" i="12"/>
  <c r="Q44" i="12"/>
  <c r="P44" i="12"/>
  <c r="P43" i="12"/>
  <c r="Q43" i="12"/>
  <c r="P33" i="12"/>
  <c r="Q33" i="12"/>
  <c r="P32" i="12"/>
  <c r="Q32" i="12"/>
  <c r="P25" i="12"/>
  <c r="Q25" i="12"/>
  <c r="P24" i="12"/>
  <c r="Q24" i="12"/>
  <c r="P17" i="12"/>
  <c r="Q17" i="12"/>
  <c r="Q16" i="12"/>
  <c r="P16" i="12"/>
  <c r="AH157" i="19"/>
  <c r="AH147" i="19"/>
  <c r="AH139" i="19"/>
  <c r="AH134" i="19"/>
  <c r="AH129" i="19"/>
  <c r="AH123" i="19"/>
  <c r="AH118" i="19"/>
  <c r="AH113" i="19"/>
  <c r="AH107" i="19"/>
  <c r="AH102" i="19"/>
  <c r="AH97" i="19"/>
  <c r="AH91" i="19"/>
  <c r="AH86" i="19"/>
  <c r="AH81" i="19"/>
  <c r="AH68" i="19"/>
  <c r="AH63" i="19"/>
  <c r="AH41" i="19"/>
  <c r="AH36" i="19"/>
  <c r="AH31" i="19"/>
  <c r="AH25" i="19"/>
  <c r="AH20" i="19"/>
  <c r="AH152" i="19"/>
  <c r="AH200" i="19"/>
  <c r="AH173" i="19"/>
  <c r="AH168" i="19"/>
  <c r="AH163" i="19"/>
  <c r="AH189" i="19"/>
  <c r="AH195" i="19"/>
  <c r="AH184" i="19"/>
  <c r="AH179" i="19"/>
  <c r="AH205" i="19"/>
</calcChain>
</file>

<file path=xl/sharedStrings.xml><?xml version="1.0" encoding="utf-8"?>
<sst xmlns="http://schemas.openxmlformats.org/spreadsheetml/2006/main" count="2340" uniqueCount="115">
  <si>
    <t>TMC</t>
  </si>
  <si>
    <t>As-cast</t>
  </si>
  <si>
    <t>SA</t>
  </si>
  <si>
    <t>BSA</t>
  </si>
  <si>
    <t>Hour</t>
  </si>
  <si>
    <t>Commercial</t>
  </si>
  <si>
    <t>STDEV</t>
  </si>
  <si>
    <t>PAN</t>
  </si>
  <si>
    <t>pH</t>
  </si>
  <si>
    <t>Average</t>
  </si>
  <si>
    <t>Water contact angle</t>
  </si>
  <si>
    <t>Zeta Potential of membranes</t>
  </si>
  <si>
    <t>Zeta Potential of foulant solutions</t>
  </si>
  <si>
    <t>0 mM</t>
  </si>
  <si>
    <t>1 mM</t>
  </si>
  <si>
    <t>2 mM</t>
  </si>
  <si>
    <t>Ca2+</t>
  </si>
  <si>
    <t>Input</t>
  </si>
  <si>
    <t>Value</t>
  </si>
  <si>
    <t>Membrane</t>
  </si>
  <si>
    <t>Operating pressure (bar)</t>
  </si>
  <si>
    <t>Membrane area (m²)</t>
  </si>
  <si>
    <t>Starting feed volume (mL)</t>
  </si>
  <si>
    <t>Fouling concentration (mg/L)</t>
  </si>
  <si>
    <t>Fouling pH</t>
  </si>
  <si>
    <t>SA experiment</t>
  </si>
  <si>
    <t>Pressure (bar)</t>
  </si>
  <si>
    <t>Phase</t>
  </si>
  <si>
    <t>Time (min)</t>
  </si>
  <si>
    <t>ΔT (h)</t>
  </si>
  <si>
    <t>Rep 1 volume measured (mL)</t>
  </si>
  <si>
    <t>Rep 1 remaining volume (mL)</t>
  </si>
  <si>
    <t>Rep 1 flux (LMH)</t>
  </si>
  <si>
    <t>Rep 2 volume measured (mL)</t>
  </si>
  <si>
    <t>Rep 2 remaining volume (mL)</t>
  </si>
  <si>
    <t>Rep 2 flux (LMH)</t>
  </si>
  <si>
    <t>Average flux (LMH)</t>
  </si>
  <si>
    <t>STDEV flux</t>
  </si>
  <si>
    <t>Avg permeance (LMH/bar)</t>
  </si>
  <si>
    <t>DI compaction</t>
  </si>
  <si>
    <t>SA fouling</t>
  </si>
  <si>
    <t>BSA experiment</t>
  </si>
  <si>
    <t>BSA fouling</t>
  </si>
  <si>
    <t>Flux recovery (%)</t>
  </si>
  <si>
    <t>STDEV recovery</t>
  </si>
  <si>
    <t>pH 7 DI cleaning</t>
  </si>
  <si>
    <t>Post-clean DI</t>
  </si>
  <si>
    <t>pH 10 alkaline cleaning</t>
  </si>
  <si>
    <t>pH 10 + 250 ppm NaOCl cleaning</t>
  </si>
  <si>
    <t>Commercial pressure (bar)</t>
  </si>
  <si>
    <t>mLbL pressure (bar)</t>
  </si>
  <si>
    <t>Ca²⁺ concentration (mM)</t>
  </si>
  <si>
    <t>SA, 0 mM Ca²⁺ — DI water cleaning</t>
  </si>
  <si>
    <t>Ca²⁺ (mM)</t>
  </si>
  <si>
    <t>Recovery (%)</t>
  </si>
  <si>
    <t>Post-clean DI water</t>
  </si>
  <si>
    <t>SA, 0 mM Ca²⁺ — pH 10 cleaning</t>
  </si>
  <si>
    <t>SA, 0 mM Ca²⁺ — pH 10 NaOCl cleaning</t>
  </si>
  <si>
    <t>SA, 1 mM Ca²⁺ — DI water cleaning</t>
  </si>
  <si>
    <t>SA, 1 mM Ca²⁺ — pH 10 cleaning</t>
  </si>
  <si>
    <t>SA, 1 mM Ca²⁺ — pH 10 NaOCl cleaning</t>
  </si>
  <si>
    <t>SA, 2 mM Ca²⁺ — DI water cleaning</t>
  </si>
  <si>
    <t>SA, 2 mM Ca²⁺ — pH 10 cleaning</t>
  </si>
  <si>
    <t>SA, 2 mM Ca²⁺ — pH 10 NaOCl cleaning</t>
  </si>
  <si>
    <t>BSA, 0 mM Ca²⁺ — DI water cleaning</t>
  </si>
  <si>
    <t>BSA, 0 mM Ca²⁺ — pH 10 cleaning</t>
  </si>
  <si>
    <t>BSA, 0 mM Ca²⁺ — pH 10 NaOCl cleaning</t>
  </si>
  <si>
    <t>BSA, 1 mM Ca²⁺ — DI water cleaning</t>
  </si>
  <si>
    <t>BSA, 1 mM Ca²⁺ — pH 10 cleaning</t>
  </si>
  <si>
    <t>BSA, 1 mM Ca²⁺ — pH 10 NaOCl cleaning</t>
  </si>
  <si>
    <t>BSA, 2 mM Ca²⁺ — DI water cleaning</t>
  </si>
  <si>
    <t>BSA, 2 mM Ca²⁺ — pH 10 cleaning</t>
  </si>
  <si>
    <t>BSA, 2 mM Ca²⁺ — pH 10 NaOCl cleaning</t>
  </si>
  <si>
    <t>NaOCl concentration (ppm)</t>
  </si>
  <si>
    <t>Dose (ppm·h)</t>
  </si>
  <si>
    <t>NaOCl exposure (h)</t>
  </si>
  <si>
    <t>0 ppm·h  (0 h exposure at 250 ppm NaOCl)</t>
  </si>
  <si>
    <t>Control (no chlorine)</t>
  </si>
  <si>
    <t>1000 ppm·h  (4 h exposure at 250 ppm NaOCl)</t>
  </si>
  <si>
    <t>250 ppm NaOCl exposure, pH 4</t>
  </si>
  <si>
    <t>3000 ppm·h  (12 h exposure at 250 ppm NaOCl)</t>
  </si>
  <si>
    <t>6000 ppm·h  (24 h exposure at 250 ppm NaOCl)</t>
  </si>
  <si>
    <t>250 ppm NaOCl exposure, pH 7</t>
  </si>
  <si>
    <t>250 ppm NaOCl exposure, pH 10</t>
  </si>
  <si>
    <t>NaCl feed concentration (mg/L)</t>
  </si>
  <si>
    <t>pH 4 chlorination salt-rejection experiments</t>
  </si>
  <si>
    <t>Stage</t>
  </si>
  <si>
    <t>R1 volume (mL)</t>
  </si>
  <si>
    <t>R1 remaining (mL)</t>
  </si>
  <si>
    <t>R1 flux (LMH)</t>
  </si>
  <si>
    <t>R1 feed cond. start</t>
  </si>
  <si>
    <t>R1 permeate cond.</t>
  </si>
  <si>
    <t>R1 feed cond. end</t>
  </si>
  <si>
    <t>R1 rejection (%)</t>
  </si>
  <si>
    <t>R2 volume (mL)</t>
  </si>
  <si>
    <t>R2 remaining (mL)</t>
  </si>
  <si>
    <t>R2 flux (LMH)</t>
  </si>
  <si>
    <t>R2 feed cond. start</t>
  </si>
  <si>
    <t>R2 permeate cond.</t>
  </si>
  <si>
    <t>R2 feed cond. end</t>
  </si>
  <si>
    <t>R2 rejection (%)</t>
  </si>
  <si>
    <t>Average rejection (%)</t>
  </si>
  <si>
    <t>STDEV rejection</t>
  </si>
  <si>
    <t>Pre-exposure 1 g/L NaCl</t>
  </si>
  <si>
    <t>Post-exposure 1 g/L NaCl</t>
  </si>
  <si>
    <t>pH 7 chlorination salt-rejection experiments</t>
  </si>
  <si>
    <t>pH 10 chlorination salt-rejection experiments</t>
  </si>
  <si>
    <t>Normalized flux R1</t>
  </si>
  <si>
    <t>Normalized flux R2</t>
  </si>
  <si>
    <t>Normalized flux AVG</t>
  </si>
  <si>
    <t>Normalized flux STDEV</t>
  </si>
  <si>
    <t>Normalized rejection R1</t>
  </si>
  <si>
    <t>Normalized rejection R2</t>
  </si>
  <si>
    <t>Normalized rejection AVG</t>
  </si>
  <si>
    <t>Normalized rejection 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</si>
</sst>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0.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2F0D9"/>
      </patternFill>
    </fill>
    <fill>
      <patternFill patternType="solid">
        <fgColor rgb="FF4F81BD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E6F2F8"/>
      </patternFill>
    </fill>
    <fill>
      <patternFill patternType="solid">
        <fgColor rgb="FFFCE5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Font="1" applyFill="1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165" fontId="5" fillId="0" borderId="0" xfId="0" applyNumberFormat="1" applyFont="1"/>
    <xf numFmtId="164" fontId="5" fillId="0" borderId="0" xfId="0" applyNumberFormat="1" applyFont="1"/>
    <xf numFmtId="0" fontId="6" fillId="4" borderId="0" xfId="0" applyFont="1" applyFill="1" applyAlignment="1">
      <alignment horizontal="center" vertical="center" wrapText="1"/>
    </xf>
    <xf numFmtId="0" fontId="5" fillId="5" borderId="0" xfId="0" applyFont="1" applyFill="1"/>
    <xf numFmtId="164" fontId="5" fillId="5" borderId="0" xfId="0" applyNumberFormat="1" applyFont="1" applyFill="1"/>
    <xf numFmtId="0" fontId="5" fillId="3" borderId="0" xfId="0" applyFont="1" applyFill="1"/>
    <xf numFmtId="164" fontId="5" fillId="3" borderId="0" xfId="0" applyNumberFormat="1" applyFont="1" applyFill="1"/>
    <xf numFmtId="164" fontId="0" fillId="0" borderId="0" xfId="0" applyNumberFormat="1"/>
    <xf numFmtId="0" fontId="7" fillId="0" borderId="0" xfId="0" applyFont="1" applyAlignment="1">
      <alignment vertical="center"/>
    </xf>
    <xf numFmtId="0" fontId="7" fillId="0" borderId="0" xfId="0" applyFont="1"/>
    <xf numFmtId="165" fontId="7" fillId="0" borderId="0" xfId="0" applyNumberFormat="1" applyFont="1"/>
    <xf numFmtId="164" fontId="7" fillId="0" borderId="0" xfId="0" applyNumberFormat="1" applyFont="1"/>
    <xf numFmtId="0" fontId="7" fillId="5" borderId="0" xfId="0" applyFont="1" applyFill="1"/>
    <xf numFmtId="164" fontId="7" fillId="5" borderId="0" xfId="0" applyNumberFormat="1" applyFont="1" applyFill="1"/>
    <xf numFmtId="0" fontId="7" fillId="3" borderId="0" xfId="0" applyFont="1" applyFill="1"/>
    <xf numFmtId="164" fontId="7" fillId="3" borderId="0" xfId="0" applyNumberFormat="1" applyFont="1" applyFill="1"/>
    <xf numFmtId="0" fontId="7" fillId="6" borderId="0" xfId="0" applyFont="1" applyFill="1"/>
    <xf numFmtId="164" fontId="7" fillId="6" borderId="0" xfId="0" applyNumberFormat="1" applyFont="1" applyFill="1"/>
    <xf numFmtId="0" fontId="7" fillId="7" borderId="0" xfId="0" applyFont="1" applyFill="1"/>
    <xf numFmtId="164" fontId="7" fillId="7" borderId="0" xfId="0" applyNumberFormat="1" applyFont="1" applyFill="1"/>
    <xf numFmtId="165" fontId="0" fillId="0" borderId="0" xfId="0" applyNumberFormat="1"/>
    <xf numFmtId="164" fontId="8" fillId="8" borderId="0" xfId="0" applyNumberFormat="1" applyFont="1" applyFill="1" applyAlignment="1">
      <alignment horizontal="center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4" fontId="4" fillId="8" borderId="0" xfId="0" applyNumberFormat="1" applyFont="1" applyFill="1"/>
    <xf numFmtId="164" fontId="4" fillId="8" borderId="0" xfId="0" applyNumberFormat="1" applyFont="1" applyFill="1" applyAlignment="1">
      <alignment horizontal="center" vertical="center" wrapText="1"/>
    </xf>
    <xf numFmtId="164" fontId="4" fillId="9" borderId="0" xfId="0" applyNumberFormat="1" applyFont="1" applyFill="1"/>
    <xf numFmtId="0" fontId="1" fillId="0" borderId="0" xfId="0" applyFont="1" applyAlignment="1">
      <alignment horizontal="center"/>
    </xf>
    <xf numFmtId="0" fontId="3" fillId="2" borderId="0" xfId="1" applyFont="1" applyAlignment="1">
      <alignment horizontal="center"/>
    </xf>
    <xf numFmtId="0" fontId="4" fillId="3" borderId="0" xfId="0" applyFont="1" applyFill="1" applyAlignment="1">
      <alignment horizontal="center"/>
    </xf>
    <xf numFmtId="164" fontId="8" fillId="11" borderId="0" xfId="0" applyNumberFormat="1" applyFont="1" applyFill="1"/>
    <xf numFmtId="164" fontId="8" fillId="10" borderId="0" xfId="0" applyNumberFormat="1" applyFont="1" applyFill="1" applyAlignment="1">
      <alignment horizontal="center"/>
    </xf>
    <xf numFmtId="164" fontId="8" fillId="8" borderId="0" xfId="0" applyNumberFormat="1" applyFont="1" applyFill="1"/>
    <xf numFmtId="164" fontId="0" fillId="0" borderId="0" xfId="0" applyNumberFormat="1" applyFill="1"/>
    <xf numFmtId="0" fontId="0" fillId="0" borderId="0" xfId="0" applyFill="1"/>
    <xf numFmtId="166" fontId="0" fillId="0" borderId="0" xfId="0" applyNumberFormat="1" applyFill="1"/>
    <xf numFmtId="166" fontId="8" fillId="8" borderId="0" xfId="0" applyNumberFormat="1" applyFont="1" applyFill="1" applyAlignment="1">
      <alignment horizontal="center" wrapText="1"/>
    </xf>
    <xf numFmtId="166" fontId="8" fillId="0" borderId="0" xfId="0" applyNumberFormat="1" applyFont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workbookViewId="0">
      <selection activeCell="G27" sqref="G27"/>
    </sheetView>
  </sheetViews>
  <sheetFormatPr baseColWidth="10" defaultColWidth="8.83203125" defaultRowHeight="15" x14ac:dyDescent="0.2"/>
  <cols>
    <col min="8" max="8" width="12.1640625" bestFit="1" customWidth="1"/>
  </cols>
  <sheetData>
    <row r="1" spans="1:21" x14ac:dyDescent="0.2">
      <c r="A1" s="36" t="s">
        <v>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 x14ac:dyDescent="0.2">
      <c r="A2" s="2" t="s">
        <v>8</v>
      </c>
      <c r="B2" s="35" t="s">
        <v>7</v>
      </c>
      <c r="C2" s="35"/>
      <c r="D2" s="35"/>
      <c r="E2" s="2" t="s">
        <v>9</v>
      </c>
      <c r="F2" s="2" t="s">
        <v>6</v>
      </c>
      <c r="G2" s="35" t="s">
        <v>5</v>
      </c>
      <c r="H2" s="35"/>
      <c r="I2" s="35"/>
      <c r="J2" s="2" t="s">
        <v>9</v>
      </c>
      <c r="K2" s="2" t="s">
        <v>6</v>
      </c>
      <c r="L2" s="35" t="s">
        <v>1</v>
      </c>
      <c r="M2" s="35"/>
      <c r="N2" s="35"/>
      <c r="O2" s="1" t="s">
        <v>9</v>
      </c>
      <c r="P2" s="1" t="s">
        <v>6</v>
      </c>
      <c r="Q2" s="35" t="s">
        <v>0</v>
      </c>
      <c r="R2" s="35"/>
      <c r="S2" s="35"/>
      <c r="T2" s="1" t="s">
        <v>9</v>
      </c>
      <c r="U2" s="1" t="s">
        <v>6</v>
      </c>
    </row>
    <row r="3" spans="1:21" x14ac:dyDescent="0.2">
      <c r="B3" s="3">
        <v>1</v>
      </c>
      <c r="C3" s="3">
        <v>2</v>
      </c>
      <c r="D3" s="3">
        <v>3</v>
      </c>
      <c r="E3" s="3"/>
      <c r="F3" s="3"/>
      <c r="G3" s="3">
        <v>1</v>
      </c>
      <c r="H3" s="3">
        <v>2</v>
      </c>
      <c r="I3" s="3">
        <v>3</v>
      </c>
      <c r="J3" s="3"/>
      <c r="K3" s="3"/>
      <c r="L3" s="3">
        <v>1</v>
      </c>
      <c r="M3" s="3">
        <v>2</v>
      </c>
      <c r="N3" s="3">
        <v>3</v>
      </c>
      <c r="O3" s="3"/>
      <c r="P3" s="3"/>
      <c r="Q3" s="3">
        <v>1</v>
      </c>
      <c r="R3" s="3">
        <v>2</v>
      </c>
      <c r="S3" s="3">
        <v>3</v>
      </c>
      <c r="T3" s="3"/>
    </row>
    <row r="4" spans="1:21" x14ac:dyDescent="0.2">
      <c r="A4">
        <v>2</v>
      </c>
      <c r="B4" s="3">
        <v>-19.899999999999999</v>
      </c>
      <c r="C4" s="3">
        <v>-18.7</v>
      </c>
      <c r="D4" s="3">
        <v>-17.5</v>
      </c>
      <c r="E4" s="3">
        <f>AVERAGE(B4:D4)</f>
        <v>-18.7</v>
      </c>
      <c r="F4" s="3">
        <f>STDEV(B4:D4)</f>
        <v>1.1999999999999993</v>
      </c>
      <c r="G4" s="3">
        <v>-28.5</v>
      </c>
      <c r="H4" s="3">
        <v>-26.3</v>
      </c>
      <c r="I4" s="3">
        <v>-24.1</v>
      </c>
      <c r="J4" s="3">
        <f>AVERAGE(G4:I4)</f>
        <v>-26.3</v>
      </c>
      <c r="K4" s="3">
        <f>STDEV(G4:I4)</f>
        <v>2.1999999999999993</v>
      </c>
      <c r="L4" s="3">
        <v>-14.6</v>
      </c>
      <c r="M4" s="3">
        <v>-12.3</v>
      </c>
      <c r="N4" s="3">
        <v>-10</v>
      </c>
      <c r="O4" s="3">
        <f>AVERAGE(L4:N4)</f>
        <v>-12.299999999999999</v>
      </c>
      <c r="P4" s="3">
        <f>STDEV(L4:N4)</f>
        <v>2.3000000000000105</v>
      </c>
      <c r="Q4" s="3">
        <v>-29.4</v>
      </c>
      <c r="R4" s="3">
        <v>-27.2</v>
      </c>
      <c r="S4" s="3">
        <v>-25</v>
      </c>
      <c r="T4" s="3">
        <f>AVERAGE(Q4:S4)</f>
        <v>-27.2</v>
      </c>
      <c r="U4">
        <f>STDEV(Q4:S4)</f>
        <v>2.1999999999999993</v>
      </c>
    </row>
    <row r="5" spans="1:21" x14ac:dyDescent="0.2">
      <c r="A5">
        <v>4</v>
      </c>
      <c r="B5" s="3">
        <v>-25.9</v>
      </c>
      <c r="C5" s="3">
        <v>-24.6</v>
      </c>
      <c r="D5" s="3">
        <v>-23.3</v>
      </c>
      <c r="E5" s="3">
        <f>AVERAGE(B5:D5)</f>
        <v>-24.599999999999998</v>
      </c>
      <c r="F5" s="3">
        <f>STDEV(B5:D5)</f>
        <v>1.2999999999999989</v>
      </c>
      <c r="G5" s="3">
        <v>-32.9</v>
      </c>
      <c r="H5" s="3">
        <v>-30.6</v>
      </c>
      <c r="I5" s="3">
        <v>-28.3</v>
      </c>
      <c r="J5" s="3">
        <f>AVERAGE(G5:I5)</f>
        <v>-30.599999999999998</v>
      </c>
      <c r="K5" s="3">
        <f>STDEV(G5:I5)</f>
        <v>2.2999999999999989</v>
      </c>
      <c r="L5" s="3">
        <v>-27.5</v>
      </c>
      <c r="M5" s="3">
        <v>-25.5</v>
      </c>
      <c r="N5" s="3">
        <v>-23.5</v>
      </c>
      <c r="O5" s="3">
        <f t="shared" ref="O5:O8" si="0">AVERAGE(L5:N5)</f>
        <v>-25.5</v>
      </c>
      <c r="P5" s="3">
        <f t="shared" ref="P5:P8" si="1">STDEV(L5:N5)</f>
        <v>2</v>
      </c>
      <c r="Q5" s="3">
        <v>-35.700000000000003</v>
      </c>
      <c r="R5" s="3">
        <v>-32.5</v>
      </c>
      <c r="S5" s="3">
        <v>-29.3</v>
      </c>
      <c r="T5" s="3">
        <f t="shared" ref="T5:T8" si="2">AVERAGE(Q5:S5)</f>
        <v>-32.5</v>
      </c>
      <c r="U5">
        <f t="shared" ref="U5:U8" si="3">STDEV(Q5:S5)</f>
        <v>3.2000000000000011</v>
      </c>
    </row>
    <row r="6" spans="1:21" x14ac:dyDescent="0.2">
      <c r="A6">
        <v>6</v>
      </c>
      <c r="B6" s="3">
        <v>-29.5</v>
      </c>
      <c r="C6" s="3">
        <v>-28.7</v>
      </c>
      <c r="D6" s="3">
        <v>-27.9</v>
      </c>
      <c r="E6" s="3">
        <f t="shared" ref="E6:E8" si="4">AVERAGE(B6:D6)</f>
        <v>-28.7</v>
      </c>
      <c r="F6" s="3">
        <f t="shared" ref="F6:F8" si="5">STDEV(B6:D6)</f>
        <v>0.80000000000000071</v>
      </c>
      <c r="G6" s="3">
        <v>-34.200000000000003</v>
      </c>
      <c r="H6" s="3">
        <v>-32.700000000000003</v>
      </c>
      <c r="I6" s="3">
        <v>-31.2</v>
      </c>
      <c r="J6" s="3">
        <f t="shared" ref="J6:J8" si="6">AVERAGE(G6:I6)</f>
        <v>-32.700000000000003</v>
      </c>
      <c r="K6" s="3">
        <f t="shared" ref="K6:K8" si="7">STDEV(G6:I6)</f>
        <v>1.5000000000000018</v>
      </c>
      <c r="L6" s="3">
        <v>-34.299999999999997</v>
      </c>
      <c r="M6" s="3">
        <v>-32.700000000000003</v>
      </c>
      <c r="N6" s="3">
        <v>-31.1</v>
      </c>
      <c r="O6" s="3">
        <f t="shared" si="0"/>
        <v>-32.699999999999996</v>
      </c>
      <c r="P6" s="3">
        <f t="shared" si="1"/>
        <v>1.5999999999999979</v>
      </c>
      <c r="Q6" s="3">
        <v>-45.9</v>
      </c>
      <c r="R6" s="3">
        <v>-44.5</v>
      </c>
      <c r="S6" s="3">
        <v>-43.1</v>
      </c>
      <c r="T6" s="3">
        <f t="shared" si="2"/>
        <v>-44.5</v>
      </c>
      <c r="U6">
        <f t="shared" si="3"/>
        <v>1.3999999999999986</v>
      </c>
    </row>
    <row r="7" spans="1:21" x14ac:dyDescent="0.2">
      <c r="A7">
        <v>8</v>
      </c>
      <c r="B7" s="3">
        <v>-32.9</v>
      </c>
      <c r="C7" s="3">
        <v>-30.7</v>
      </c>
      <c r="D7" s="3">
        <v>-28.5</v>
      </c>
      <c r="E7" s="3">
        <f t="shared" si="4"/>
        <v>-30.7</v>
      </c>
      <c r="F7" s="3">
        <f t="shared" si="5"/>
        <v>2.1999999999999993</v>
      </c>
      <c r="G7" s="3">
        <v>-37.6</v>
      </c>
      <c r="H7" s="3">
        <v>-25.7</v>
      </c>
      <c r="I7" s="3">
        <v>-33.799999999999997</v>
      </c>
      <c r="J7" s="3">
        <f t="shared" si="6"/>
        <v>-32.366666666666667</v>
      </c>
      <c r="K7" s="3">
        <f t="shared" si="7"/>
        <v>6.0781027741667373</v>
      </c>
      <c r="L7" s="3">
        <v>-34.5</v>
      </c>
      <c r="M7" s="3">
        <v>-33.5</v>
      </c>
      <c r="N7" s="3">
        <v>-32.5</v>
      </c>
      <c r="O7" s="3">
        <f t="shared" si="0"/>
        <v>-33.5</v>
      </c>
      <c r="P7" s="3">
        <f t="shared" si="1"/>
        <v>1</v>
      </c>
      <c r="Q7" s="3">
        <v>-53.7</v>
      </c>
      <c r="R7" s="3">
        <v>-51.6</v>
      </c>
      <c r="S7" s="3">
        <v>-49.5</v>
      </c>
      <c r="T7" s="3">
        <f t="shared" si="2"/>
        <v>-51.6</v>
      </c>
      <c r="U7">
        <f t="shared" si="3"/>
        <v>2.1000000000000014</v>
      </c>
    </row>
    <row r="8" spans="1:21" x14ac:dyDescent="0.2">
      <c r="A8">
        <v>10</v>
      </c>
      <c r="B8" s="3">
        <v>-39.6</v>
      </c>
      <c r="C8" s="3">
        <v>-35.799999999999997</v>
      </c>
      <c r="D8" s="3">
        <v>-37.700000000000003</v>
      </c>
      <c r="E8" s="3">
        <f t="shared" si="4"/>
        <v>-37.700000000000003</v>
      </c>
      <c r="F8" s="3">
        <f t="shared" si="5"/>
        <v>1.9000000000000021</v>
      </c>
      <c r="G8" s="3">
        <v>-38.4</v>
      </c>
      <c r="H8" s="3">
        <v>-36.4</v>
      </c>
      <c r="I8" s="3">
        <v>-34.4</v>
      </c>
      <c r="J8" s="3">
        <f t="shared" si="6"/>
        <v>-36.4</v>
      </c>
      <c r="K8" s="3">
        <f t="shared" si="7"/>
        <v>2</v>
      </c>
      <c r="L8" s="3">
        <v>-39.6</v>
      </c>
      <c r="M8" s="3">
        <v>-37.700000000000003</v>
      </c>
      <c r="N8" s="3">
        <v>-35.799999999999997</v>
      </c>
      <c r="O8" s="3">
        <f t="shared" si="0"/>
        <v>-37.700000000000003</v>
      </c>
      <c r="P8" s="3">
        <f t="shared" si="1"/>
        <v>1.9000000000000021</v>
      </c>
      <c r="Q8" s="3">
        <v>-57.4</v>
      </c>
      <c r="R8" s="3">
        <v>-55.7</v>
      </c>
      <c r="S8" s="3">
        <v>-54</v>
      </c>
      <c r="T8" s="3">
        <f t="shared" si="2"/>
        <v>-55.699999999999996</v>
      </c>
      <c r="U8">
        <f t="shared" si="3"/>
        <v>1.6999999999999993</v>
      </c>
    </row>
    <row r="9" spans="1:21" x14ac:dyDescent="0.2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1" x14ac:dyDescent="0.2">
      <c r="A10" s="36" t="s">
        <v>10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</row>
    <row r="11" spans="1:21" x14ac:dyDescent="0.2">
      <c r="A11" s="2" t="s">
        <v>8</v>
      </c>
      <c r="B11" s="35" t="s">
        <v>7</v>
      </c>
      <c r="C11" s="35"/>
      <c r="D11" s="35"/>
      <c r="E11" s="2" t="s">
        <v>9</v>
      </c>
      <c r="F11" s="2" t="s">
        <v>6</v>
      </c>
      <c r="G11" s="35" t="s">
        <v>5</v>
      </c>
      <c r="H11" s="35"/>
      <c r="I11" s="35"/>
      <c r="J11" s="2" t="s">
        <v>9</v>
      </c>
      <c r="K11" s="2" t="s">
        <v>6</v>
      </c>
      <c r="L11" s="35" t="s">
        <v>1</v>
      </c>
      <c r="M11" s="35"/>
      <c r="N11" s="35"/>
      <c r="O11" s="1" t="s">
        <v>9</v>
      </c>
      <c r="P11" s="1" t="s">
        <v>6</v>
      </c>
      <c r="Q11" s="35" t="s">
        <v>0</v>
      </c>
      <c r="R11" s="35"/>
      <c r="S11" s="35"/>
      <c r="T11" s="1" t="s">
        <v>9</v>
      </c>
      <c r="U11" s="1" t="s">
        <v>6</v>
      </c>
    </row>
    <row r="12" spans="1:21" x14ac:dyDescent="0.2">
      <c r="B12" s="3">
        <v>1</v>
      </c>
      <c r="C12" s="3">
        <v>2</v>
      </c>
      <c r="D12" s="3">
        <v>3</v>
      </c>
      <c r="E12" s="3"/>
      <c r="F12" s="3"/>
      <c r="G12" s="3">
        <v>1</v>
      </c>
      <c r="H12" s="3">
        <v>2</v>
      </c>
      <c r="I12" s="3">
        <v>3</v>
      </c>
      <c r="J12" s="3"/>
      <c r="K12" s="3"/>
      <c r="L12" s="3">
        <v>1</v>
      </c>
      <c r="M12" s="3">
        <v>2</v>
      </c>
      <c r="N12" s="3">
        <v>3</v>
      </c>
      <c r="O12" s="3"/>
      <c r="P12" s="3"/>
      <c r="Q12" s="3">
        <v>1</v>
      </c>
      <c r="R12" s="3">
        <v>2</v>
      </c>
      <c r="S12" s="3">
        <v>3</v>
      </c>
      <c r="T12" s="3"/>
    </row>
    <row r="13" spans="1:21" x14ac:dyDescent="0.2">
      <c r="A13">
        <v>7</v>
      </c>
      <c r="B13" s="3">
        <v>54.1</v>
      </c>
      <c r="C13" s="3">
        <v>56.1</v>
      </c>
      <c r="D13" s="3">
        <v>58.1</v>
      </c>
      <c r="E13" s="3">
        <f>AVERAGE(B13:D13)</f>
        <v>56.1</v>
      </c>
      <c r="F13" s="3">
        <f>STDEV(B13:D13)</f>
        <v>2</v>
      </c>
      <c r="G13" s="3">
        <v>59.4</v>
      </c>
      <c r="H13" s="3">
        <v>60</v>
      </c>
      <c r="I13" s="3">
        <v>60.6</v>
      </c>
      <c r="J13" s="3">
        <f>AVERAGE(G13:I13)</f>
        <v>60</v>
      </c>
      <c r="K13" s="3">
        <f>STDEV(G13:I13)</f>
        <v>0.60000000000000142</v>
      </c>
      <c r="L13" s="3">
        <v>56.3</v>
      </c>
      <c r="M13" s="3">
        <v>57</v>
      </c>
      <c r="N13" s="3">
        <v>57.7</v>
      </c>
      <c r="O13" s="3">
        <f>AVERAGE(L13:N13)</f>
        <v>57</v>
      </c>
      <c r="P13" s="3">
        <f>STDEV(L13:N13)</f>
        <v>0.70000000000000284</v>
      </c>
      <c r="Q13" s="3">
        <v>49.5</v>
      </c>
      <c r="R13" s="3">
        <v>50</v>
      </c>
      <c r="S13" s="3">
        <v>50.5</v>
      </c>
      <c r="T13" s="3">
        <f>AVERAGE(Q13:S13)</f>
        <v>50</v>
      </c>
      <c r="U13" s="3">
        <f>STDEV(Q13:S13)</f>
        <v>0.5</v>
      </c>
    </row>
    <row r="14" spans="1:21" x14ac:dyDescent="0.2">
      <c r="A14">
        <v>10</v>
      </c>
      <c r="B14" s="3">
        <v>49</v>
      </c>
      <c r="C14" s="3">
        <v>50.2</v>
      </c>
      <c r="D14" s="3">
        <v>51.4</v>
      </c>
      <c r="E14" s="3">
        <f>AVERAGE(B14:D14)</f>
        <v>50.199999999999996</v>
      </c>
      <c r="F14" s="3">
        <f>STDEV(B14:D14)</f>
        <v>1.1999999999999993</v>
      </c>
      <c r="G14" s="3">
        <v>51.8</v>
      </c>
      <c r="H14" s="3">
        <v>53</v>
      </c>
      <c r="I14" s="3">
        <v>54.2</v>
      </c>
      <c r="J14" s="3">
        <f>AVERAGE(G14:I14)</f>
        <v>53</v>
      </c>
      <c r="K14" s="3">
        <f>STDEV(G14:I14)</f>
        <v>1.2000000000000028</v>
      </c>
      <c r="L14" s="3">
        <v>52</v>
      </c>
      <c r="M14" s="3">
        <v>51.4</v>
      </c>
      <c r="N14" s="3">
        <v>52</v>
      </c>
      <c r="O14" s="3">
        <f>AVERAGE(L14:N14)</f>
        <v>51.800000000000004</v>
      </c>
      <c r="P14" s="3">
        <f>STDEV(L14:N14)</f>
        <v>0.34641016151377629</v>
      </c>
      <c r="Q14" s="3">
        <v>40.799999999999997</v>
      </c>
      <c r="R14" s="3">
        <v>42</v>
      </c>
      <c r="S14" s="3">
        <v>43.2</v>
      </c>
      <c r="T14" s="3">
        <f>AVERAGE(Q14:S14)</f>
        <v>42</v>
      </c>
      <c r="U14" s="3">
        <f>STDEV(Q14:S14)</f>
        <v>1.2000000000000028</v>
      </c>
    </row>
    <row r="15" spans="1:21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1" x14ac:dyDescent="0.2">
      <c r="A16" s="36" t="s">
        <v>12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0" x14ac:dyDescent="0.2">
      <c r="A17" s="1" t="s">
        <v>16</v>
      </c>
      <c r="B17" s="35" t="s">
        <v>2</v>
      </c>
      <c r="C17" s="35"/>
      <c r="D17" s="35"/>
      <c r="E17" s="2" t="s">
        <v>9</v>
      </c>
      <c r="F17" s="2" t="s">
        <v>6</v>
      </c>
      <c r="G17" s="35" t="s">
        <v>3</v>
      </c>
      <c r="H17" s="35"/>
      <c r="I17" s="35"/>
      <c r="J17" s="2" t="s">
        <v>9</v>
      </c>
      <c r="K17" s="2" t="s">
        <v>6</v>
      </c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">
      <c r="B18" s="3">
        <v>1</v>
      </c>
      <c r="C18" s="3">
        <v>2</v>
      </c>
      <c r="D18" s="3">
        <v>3</v>
      </c>
      <c r="E18" s="3"/>
      <c r="F18" s="3"/>
      <c r="G18" s="3">
        <v>1</v>
      </c>
      <c r="H18" s="3">
        <v>2</v>
      </c>
      <c r="I18" s="3">
        <v>3</v>
      </c>
      <c r="J18" s="3"/>
      <c r="K18" s="3"/>
    </row>
    <row r="19" spans="1:20" x14ac:dyDescent="0.2">
      <c r="A19" t="s">
        <v>13</v>
      </c>
      <c r="B19" s="3">
        <v>-40.5</v>
      </c>
      <c r="C19" s="3">
        <v>-39.6</v>
      </c>
      <c r="D19" s="3">
        <v>-39</v>
      </c>
      <c r="E19" s="3">
        <f>AVERAGE(B19:D19)</f>
        <v>-39.699999999999996</v>
      </c>
      <c r="F19" s="3">
        <f>STDEV(B19:D19)</f>
        <v>0.75498344352707492</v>
      </c>
      <c r="G19" s="3">
        <v>-17.3</v>
      </c>
      <c r="H19" s="3">
        <v>-16.600000000000001</v>
      </c>
      <c r="I19" s="3">
        <v>-15.8</v>
      </c>
      <c r="J19" s="3">
        <f>AVERAGE(G19:I19)</f>
        <v>-16.566666666666666</v>
      </c>
      <c r="K19" s="3">
        <f>STDEV(G19:I19)</f>
        <v>0.75055534994651341</v>
      </c>
    </row>
    <row r="20" spans="1:20" x14ac:dyDescent="0.2">
      <c r="A20" t="s">
        <v>14</v>
      </c>
      <c r="B20" s="3">
        <v>-29.6</v>
      </c>
      <c r="C20" s="3">
        <v>-28.6</v>
      </c>
      <c r="D20" s="3">
        <v>-27.6</v>
      </c>
      <c r="E20" s="3">
        <f t="shared" ref="E20:E21" si="8">AVERAGE(B20:D20)</f>
        <v>-28.600000000000005</v>
      </c>
      <c r="F20" s="3">
        <f t="shared" ref="F20:F21" si="9">STDEV(B20:D20)</f>
        <v>1</v>
      </c>
      <c r="G20" s="3">
        <v>-15.2</v>
      </c>
      <c r="H20" s="3">
        <v>-13.7</v>
      </c>
      <c r="I20" s="3">
        <v>-12.2</v>
      </c>
      <c r="J20" s="3">
        <f t="shared" ref="J20:J21" si="10">AVERAGE(G20:I20)</f>
        <v>-13.699999999999998</v>
      </c>
      <c r="K20" s="3">
        <f t="shared" ref="K20:K21" si="11">STDEV(G20:I20)</f>
        <v>1.5</v>
      </c>
    </row>
    <row r="21" spans="1:20" x14ac:dyDescent="0.2">
      <c r="A21" t="s">
        <v>15</v>
      </c>
      <c r="B21" s="3">
        <v>-24.8</v>
      </c>
      <c r="C21" s="3">
        <v>-24.3</v>
      </c>
      <c r="D21" s="3">
        <v>-23.5</v>
      </c>
      <c r="E21" s="3">
        <f t="shared" si="8"/>
        <v>-24.2</v>
      </c>
      <c r="F21" s="3">
        <f t="shared" si="9"/>
        <v>0.65574385243020039</v>
      </c>
      <c r="G21" s="3">
        <v>-11.8</v>
      </c>
      <c r="H21" s="3">
        <v>-10.7</v>
      </c>
      <c r="I21" s="3">
        <v>-11.1</v>
      </c>
      <c r="J21" s="3">
        <f t="shared" si="10"/>
        <v>-11.200000000000001</v>
      </c>
      <c r="K21" s="3">
        <f t="shared" si="11"/>
        <v>0.55677643628300288</v>
      </c>
    </row>
  </sheetData>
  <mergeCells count="13">
    <mergeCell ref="B17:D17"/>
    <mergeCell ref="G17:I17"/>
    <mergeCell ref="A16:K16"/>
    <mergeCell ref="Q2:S2"/>
    <mergeCell ref="A1:U1"/>
    <mergeCell ref="A10:U10"/>
    <mergeCell ref="B11:D11"/>
    <mergeCell ref="G11:I11"/>
    <mergeCell ref="L11:N11"/>
    <mergeCell ref="Q11:S11"/>
    <mergeCell ref="B2:D2"/>
    <mergeCell ref="G2:I2"/>
    <mergeCell ref="L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FC712-4560-4449-AB30-B49792ED1221}">
  <dimension ref="A1:O47"/>
  <sheetViews>
    <sheetView zoomScale="75" zoomScaleNormal="42" workbookViewId="0">
      <selection activeCell="M12" sqref="M12"/>
    </sheetView>
  </sheetViews>
  <sheetFormatPr baseColWidth="10" defaultRowHeight="15" x14ac:dyDescent="0.2"/>
  <cols>
    <col min="1" max="1" width="26" bestFit="1" customWidth="1"/>
  </cols>
  <sheetData>
    <row r="1" spans="1:15" ht="16" x14ac:dyDescent="0.2">
      <c r="A1" s="5" t="s">
        <v>17</v>
      </c>
      <c r="B1" s="5" t="s">
        <v>18</v>
      </c>
      <c r="C1" s="6"/>
      <c r="D1" s="5" t="s">
        <v>19</v>
      </c>
      <c r="E1" s="5" t="s">
        <v>20</v>
      </c>
      <c r="F1" s="6"/>
      <c r="G1" s="6"/>
      <c r="H1" s="6"/>
      <c r="I1" s="6"/>
      <c r="J1" s="6"/>
      <c r="K1" s="6"/>
      <c r="L1" s="6"/>
      <c r="M1" s="6"/>
      <c r="N1" s="6"/>
      <c r="O1" s="7"/>
    </row>
    <row r="2" spans="1:15" ht="16" x14ac:dyDescent="0.2">
      <c r="A2" s="7" t="s">
        <v>21</v>
      </c>
      <c r="B2" s="8">
        <v>1.4643846129999999E-3</v>
      </c>
      <c r="C2" s="7"/>
      <c r="D2" s="7" t="s">
        <v>5</v>
      </c>
      <c r="E2" s="9">
        <v>12</v>
      </c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6" x14ac:dyDescent="0.2">
      <c r="A3" s="7" t="s">
        <v>22</v>
      </c>
      <c r="B3" s="9">
        <v>250</v>
      </c>
      <c r="C3" s="7"/>
      <c r="D3" s="7" t="s">
        <v>1</v>
      </c>
      <c r="E3" s="9">
        <v>30</v>
      </c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16" x14ac:dyDescent="0.2">
      <c r="A4" s="7" t="s">
        <v>23</v>
      </c>
      <c r="B4" s="9">
        <v>20</v>
      </c>
      <c r="C4" s="7"/>
      <c r="D4" s="7" t="s">
        <v>0</v>
      </c>
      <c r="E4" s="9">
        <v>30</v>
      </c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6" x14ac:dyDescent="0.2">
      <c r="A5" s="7" t="s">
        <v>24</v>
      </c>
      <c r="B5" s="9">
        <v>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1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6" x14ac:dyDescent="0.2">
      <c r="A7" s="37" t="s">
        <v>25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7"/>
    </row>
    <row r="8" spans="1:15" ht="68" x14ac:dyDescent="0.2">
      <c r="A8" s="10" t="s">
        <v>19</v>
      </c>
      <c r="B8" s="10" t="s">
        <v>26</v>
      </c>
      <c r="C8" s="10" t="s">
        <v>27</v>
      </c>
      <c r="D8" s="10" t="s">
        <v>28</v>
      </c>
      <c r="E8" s="10" t="s">
        <v>4</v>
      </c>
      <c r="F8" s="10" t="s">
        <v>29</v>
      </c>
      <c r="G8" s="10" t="s">
        <v>30</v>
      </c>
      <c r="H8" s="10" t="s">
        <v>31</v>
      </c>
      <c r="I8" s="10" t="s">
        <v>32</v>
      </c>
      <c r="J8" s="10" t="s">
        <v>33</v>
      </c>
      <c r="K8" s="10" t="s">
        <v>34</v>
      </c>
      <c r="L8" s="10" t="s">
        <v>35</v>
      </c>
      <c r="M8" s="10" t="s">
        <v>36</v>
      </c>
      <c r="N8" s="10" t="s">
        <v>37</v>
      </c>
      <c r="O8" s="7"/>
    </row>
    <row r="9" spans="1:15" ht="16" x14ac:dyDescent="0.2">
      <c r="A9" s="11" t="s">
        <v>5</v>
      </c>
      <c r="B9" s="12">
        <v>12</v>
      </c>
      <c r="C9" s="12" t="s">
        <v>39</v>
      </c>
      <c r="D9" s="12">
        <v>300</v>
      </c>
      <c r="E9" s="12">
        <v>5</v>
      </c>
      <c r="F9" s="12">
        <v>1</v>
      </c>
      <c r="G9" s="12">
        <v>47.6</v>
      </c>
      <c r="H9" s="12"/>
      <c r="I9" s="12">
        <f t="shared" ref="I9:I26" si="0">(G9/1000)/($B$2*F9)</f>
        <v>32.50512165822655</v>
      </c>
      <c r="J9" s="12">
        <v>48.2</v>
      </c>
      <c r="K9" s="12"/>
      <c r="L9" s="12">
        <f t="shared" ref="L9:L26" si="1">(J9/1000)/($B$2*F9)</f>
        <v>32.914850082489906</v>
      </c>
      <c r="M9" s="12">
        <f t="shared" ref="M9:M26" si="2">AVERAGE(I9,L9)</f>
        <v>32.709985870358224</v>
      </c>
      <c r="N9" s="12">
        <f t="shared" ref="N9:N26" si="3">STDEV(I9,L9)</f>
        <v>0.28972174724149802</v>
      </c>
      <c r="O9" s="7"/>
    </row>
    <row r="10" spans="1:15" ht="16" x14ac:dyDescent="0.2">
      <c r="A10" s="13" t="s">
        <v>5</v>
      </c>
      <c r="B10" s="14">
        <v>12</v>
      </c>
      <c r="C10" s="14" t="s">
        <v>40</v>
      </c>
      <c r="D10" s="14">
        <v>60</v>
      </c>
      <c r="E10" s="14">
        <v>1</v>
      </c>
      <c r="F10" s="14">
        <v>1</v>
      </c>
      <c r="G10" s="14">
        <v>43</v>
      </c>
      <c r="H10" s="14">
        <f>$B$3-G10</f>
        <v>207</v>
      </c>
      <c r="I10" s="14">
        <f t="shared" si="0"/>
        <v>29.363870405540787</v>
      </c>
      <c r="J10" s="14">
        <v>43.4</v>
      </c>
      <c r="K10" s="14">
        <f>$B$3-J10</f>
        <v>206.6</v>
      </c>
      <c r="L10" s="14">
        <f t="shared" si="1"/>
        <v>29.637022688383031</v>
      </c>
      <c r="M10" s="14">
        <f t="shared" si="2"/>
        <v>29.500446546961911</v>
      </c>
      <c r="N10" s="14">
        <f t="shared" si="3"/>
        <v>0.19314783149433618</v>
      </c>
      <c r="O10" s="7"/>
    </row>
    <row r="11" spans="1:15" ht="16" x14ac:dyDescent="0.2">
      <c r="A11" s="13" t="s">
        <v>5</v>
      </c>
      <c r="B11" s="14">
        <v>12</v>
      </c>
      <c r="C11" s="14" t="s">
        <v>40</v>
      </c>
      <c r="D11" s="14">
        <v>120</v>
      </c>
      <c r="E11" s="14">
        <v>2</v>
      </c>
      <c r="F11" s="14">
        <v>1</v>
      </c>
      <c r="G11" s="14">
        <v>36.1</v>
      </c>
      <c r="H11" s="14">
        <f>H10-G11</f>
        <v>170.9</v>
      </c>
      <c r="I11" s="14">
        <f t="shared" si="0"/>
        <v>24.65199352651215</v>
      </c>
      <c r="J11" s="14">
        <v>36.5</v>
      </c>
      <c r="K11" s="14">
        <f>K10-J11</f>
        <v>170.1</v>
      </c>
      <c r="L11" s="14">
        <f t="shared" si="1"/>
        <v>24.92514580935439</v>
      </c>
      <c r="M11" s="14">
        <f t="shared" si="2"/>
        <v>24.78856966793327</v>
      </c>
      <c r="N11" s="14">
        <f t="shared" si="3"/>
        <v>0.19314783149433368</v>
      </c>
      <c r="O11" s="7"/>
    </row>
    <row r="12" spans="1:15" ht="16" x14ac:dyDescent="0.2">
      <c r="A12" s="13" t="s">
        <v>5</v>
      </c>
      <c r="B12" s="14">
        <v>12</v>
      </c>
      <c r="C12" s="14" t="s">
        <v>40</v>
      </c>
      <c r="D12" s="14">
        <v>180</v>
      </c>
      <c r="E12" s="14">
        <v>3</v>
      </c>
      <c r="F12" s="14">
        <v>1</v>
      </c>
      <c r="G12" s="14">
        <v>32</v>
      </c>
      <c r="H12" s="14">
        <f>H11-G12</f>
        <v>138.9</v>
      </c>
      <c r="I12" s="14">
        <f t="shared" si="0"/>
        <v>21.852182627379193</v>
      </c>
      <c r="J12" s="14">
        <v>33</v>
      </c>
      <c r="K12" s="14">
        <f>K11-J12</f>
        <v>137.1</v>
      </c>
      <c r="L12" s="14">
        <f t="shared" si="1"/>
        <v>22.535063334484793</v>
      </c>
      <c r="M12" s="14">
        <f t="shared" si="2"/>
        <v>22.193622980931991</v>
      </c>
      <c r="N12" s="14">
        <f t="shared" si="3"/>
        <v>0.48286957873583419</v>
      </c>
      <c r="O12" s="7"/>
    </row>
    <row r="13" spans="1:15" ht="16" x14ac:dyDescent="0.2">
      <c r="A13" s="13" t="s">
        <v>5</v>
      </c>
      <c r="B13" s="14">
        <v>12</v>
      </c>
      <c r="C13" s="14" t="s">
        <v>40</v>
      </c>
      <c r="D13" s="14">
        <v>240</v>
      </c>
      <c r="E13" s="14">
        <v>4</v>
      </c>
      <c r="F13" s="14">
        <v>1</v>
      </c>
      <c r="G13" s="14">
        <v>23.9</v>
      </c>
      <c r="H13" s="14">
        <f>H12-G13</f>
        <v>115</v>
      </c>
      <c r="I13" s="14">
        <f t="shared" si="0"/>
        <v>16.320848899823833</v>
      </c>
      <c r="J13" s="14">
        <v>25</v>
      </c>
      <c r="K13" s="14">
        <f>K12-J13</f>
        <v>112.1</v>
      </c>
      <c r="L13" s="14">
        <f t="shared" si="1"/>
        <v>17.072017677639995</v>
      </c>
      <c r="M13" s="14">
        <f t="shared" si="2"/>
        <v>16.696433288731914</v>
      </c>
      <c r="N13" s="14">
        <f t="shared" si="3"/>
        <v>0.53115653660941886</v>
      </c>
      <c r="O13" s="7"/>
    </row>
    <row r="14" spans="1:15" ht="16" x14ac:dyDescent="0.2">
      <c r="A14" s="13" t="s">
        <v>5</v>
      </c>
      <c r="B14" s="14">
        <v>12</v>
      </c>
      <c r="C14" s="14" t="s">
        <v>40</v>
      </c>
      <c r="D14" s="14">
        <v>300</v>
      </c>
      <c r="E14" s="14">
        <v>5</v>
      </c>
      <c r="F14" s="14">
        <v>1</v>
      </c>
      <c r="G14" s="14">
        <v>21.4</v>
      </c>
      <c r="H14" s="14">
        <f>H13-G14</f>
        <v>93.6</v>
      </c>
      <c r="I14" s="14">
        <f t="shared" si="0"/>
        <v>14.613647132059834</v>
      </c>
      <c r="J14" s="14">
        <v>22.5</v>
      </c>
      <c r="K14" s="14">
        <f>K13-J14</f>
        <v>89.6</v>
      </c>
      <c r="L14" s="14">
        <f t="shared" si="1"/>
        <v>15.364815909875993</v>
      </c>
      <c r="M14" s="14">
        <f t="shared" si="2"/>
        <v>14.989231520967913</v>
      </c>
      <c r="N14" s="14">
        <f t="shared" si="3"/>
        <v>0.53115653660941764</v>
      </c>
      <c r="O14" s="7"/>
    </row>
    <row r="15" spans="1:15" ht="16" x14ac:dyDescent="0.2">
      <c r="A15" s="11" t="s">
        <v>1</v>
      </c>
      <c r="B15" s="12">
        <v>30</v>
      </c>
      <c r="C15" s="12" t="s">
        <v>39</v>
      </c>
      <c r="D15" s="12">
        <v>300</v>
      </c>
      <c r="E15" s="12">
        <v>5</v>
      </c>
      <c r="F15" s="12">
        <v>1</v>
      </c>
      <c r="G15" s="12">
        <v>47.8</v>
      </c>
      <c r="H15" s="12"/>
      <c r="I15" s="12">
        <f t="shared" si="0"/>
        <v>32.641697799647666</v>
      </c>
      <c r="J15" s="12">
        <v>48.3</v>
      </c>
      <c r="K15" s="12"/>
      <c r="L15" s="12">
        <f t="shared" si="1"/>
        <v>32.983138153200464</v>
      </c>
      <c r="M15" s="12">
        <f t="shared" si="2"/>
        <v>32.812417976424065</v>
      </c>
      <c r="N15" s="12">
        <f t="shared" si="3"/>
        <v>0.24143478936791585</v>
      </c>
      <c r="O15" s="7"/>
    </row>
    <row r="16" spans="1:15" ht="16" x14ac:dyDescent="0.2">
      <c r="A16" s="13" t="s">
        <v>1</v>
      </c>
      <c r="B16" s="14">
        <v>30</v>
      </c>
      <c r="C16" s="14" t="s">
        <v>40</v>
      </c>
      <c r="D16" s="14">
        <v>60</v>
      </c>
      <c r="E16" s="14">
        <v>1</v>
      </c>
      <c r="F16" s="14">
        <v>1</v>
      </c>
      <c r="G16" s="14">
        <v>42.5</v>
      </c>
      <c r="H16" s="14">
        <f>$B$3-G16</f>
        <v>207.5</v>
      </c>
      <c r="I16" s="14">
        <f t="shared" si="0"/>
        <v>29.022430051987993</v>
      </c>
      <c r="J16" s="14">
        <v>43</v>
      </c>
      <c r="K16" s="14">
        <f>$B$3-J16</f>
        <v>207</v>
      </c>
      <c r="L16" s="14">
        <f t="shared" si="1"/>
        <v>29.363870405540787</v>
      </c>
      <c r="M16" s="14">
        <f t="shared" si="2"/>
        <v>29.193150228764388</v>
      </c>
      <c r="N16" s="14">
        <f t="shared" si="3"/>
        <v>0.24143478936791332</v>
      </c>
      <c r="O16" s="7"/>
    </row>
    <row r="17" spans="1:15" ht="16" x14ac:dyDescent="0.2">
      <c r="A17" s="13" t="s">
        <v>1</v>
      </c>
      <c r="B17" s="14">
        <v>30</v>
      </c>
      <c r="C17" s="14" t="s">
        <v>40</v>
      </c>
      <c r="D17" s="14">
        <v>120</v>
      </c>
      <c r="E17" s="14">
        <v>2</v>
      </c>
      <c r="F17" s="14">
        <v>1</v>
      </c>
      <c r="G17" s="14">
        <v>38.299999999999997</v>
      </c>
      <c r="H17" s="14">
        <f>H16-G17</f>
        <v>169.2</v>
      </c>
      <c r="I17" s="14">
        <f t="shared" si="0"/>
        <v>26.154331082144466</v>
      </c>
      <c r="J17" s="14">
        <v>39.299999999999997</v>
      </c>
      <c r="K17" s="14">
        <f>K16-J17</f>
        <v>167.7</v>
      </c>
      <c r="L17" s="14">
        <f t="shared" si="1"/>
        <v>26.837211789250066</v>
      </c>
      <c r="M17" s="14">
        <f t="shared" si="2"/>
        <v>26.495771435697264</v>
      </c>
      <c r="N17" s="14">
        <f t="shared" si="3"/>
        <v>0.48286957873583419</v>
      </c>
      <c r="O17" s="7"/>
    </row>
    <row r="18" spans="1:15" ht="16" x14ac:dyDescent="0.2">
      <c r="A18" s="13" t="s">
        <v>1</v>
      </c>
      <c r="B18" s="14">
        <v>30</v>
      </c>
      <c r="C18" s="14" t="s">
        <v>40</v>
      </c>
      <c r="D18" s="14">
        <v>180</v>
      </c>
      <c r="E18" s="14">
        <v>3</v>
      </c>
      <c r="F18" s="14">
        <v>1</v>
      </c>
      <c r="G18" s="14">
        <v>36.5</v>
      </c>
      <c r="H18" s="14">
        <f>H17-G18</f>
        <v>132.69999999999999</v>
      </c>
      <c r="I18" s="14">
        <f t="shared" si="0"/>
        <v>24.92514580935439</v>
      </c>
      <c r="J18" s="14">
        <v>37</v>
      </c>
      <c r="K18" s="14">
        <f>K17-J18</f>
        <v>130.69999999999999</v>
      </c>
      <c r="L18" s="14">
        <f t="shared" si="1"/>
        <v>25.266586162907188</v>
      </c>
      <c r="M18" s="14">
        <f t="shared" si="2"/>
        <v>25.095865986130789</v>
      </c>
      <c r="N18" s="14">
        <f t="shared" si="3"/>
        <v>0.24143478936791585</v>
      </c>
      <c r="O18" s="7"/>
    </row>
    <row r="19" spans="1:15" ht="16" x14ac:dyDescent="0.2">
      <c r="A19" s="13" t="s">
        <v>1</v>
      </c>
      <c r="B19" s="14">
        <v>30</v>
      </c>
      <c r="C19" s="14" t="s">
        <v>40</v>
      </c>
      <c r="D19" s="14">
        <v>240</v>
      </c>
      <c r="E19" s="14">
        <v>4</v>
      </c>
      <c r="F19" s="14">
        <v>1</v>
      </c>
      <c r="G19" s="14">
        <v>32.6</v>
      </c>
      <c r="H19" s="14">
        <f>H18-G19</f>
        <v>100.1</v>
      </c>
      <c r="I19" s="14">
        <f t="shared" si="0"/>
        <v>22.261911051642553</v>
      </c>
      <c r="J19" s="14">
        <v>33</v>
      </c>
      <c r="K19" s="14">
        <f>K18-J19</f>
        <v>97.699999999999989</v>
      </c>
      <c r="L19" s="14">
        <f t="shared" si="1"/>
        <v>22.535063334484793</v>
      </c>
      <c r="M19" s="14">
        <f t="shared" si="2"/>
        <v>22.398487193063673</v>
      </c>
      <c r="N19" s="14">
        <f t="shared" si="3"/>
        <v>0.19314783149433368</v>
      </c>
      <c r="O19" s="7"/>
    </row>
    <row r="20" spans="1:15" ht="16" x14ac:dyDescent="0.2">
      <c r="A20" s="13" t="s">
        <v>1</v>
      </c>
      <c r="B20" s="14">
        <v>30</v>
      </c>
      <c r="C20" s="14" t="s">
        <v>40</v>
      </c>
      <c r="D20" s="14">
        <v>300</v>
      </c>
      <c r="E20" s="14">
        <v>5</v>
      </c>
      <c r="F20" s="14">
        <v>1</v>
      </c>
      <c r="G20" s="14">
        <v>30.1</v>
      </c>
      <c r="H20" s="14">
        <f>H19-G20</f>
        <v>70</v>
      </c>
      <c r="I20" s="14">
        <f t="shared" si="0"/>
        <v>20.554709283878555</v>
      </c>
      <c r="J20" s="14">
        <v>30.5</v>
      </c>
      <c r="K20" s="14">
        <f>K19-J20</f>
        <v>67.199999999999989</v>
      </c>
      <c r="L20" s="14">
        <f t="shared" si="1"/>
        <v>20.827861566720792</v>
      </c>
      <c r="M20" s="14">
        <f t="shared" si="2"/>
        <v>20.691285425299675</v>
      </c>
      <c r="N20" s="14">
        <f t="shared" si="3"/>
        <v>0.19314783149433118</v>
      </c>
      <c r="O20" s="7"/>
    </row>
    <row r="21" spans="1:15" ht="16" x14ac:dyDescent="0.2">
      <c r="A21" s="11" t="s">
        <v>0</v>
      </c>
      <c r="B21" s="12">
        <v>30</v>
      </c>
      <c r="C21" s="12" t="s">
        <v>39</v>
      </c>
      <c r="D21" s="12">
        <v>300</v>
      </c>
      <c r="E21" s="12">
        <v>5</v>
      </c>
      <c r="F21" s="12">
        <v>1</v>
      </c>
      <c r="G21" s="12">
        <v>47.7</v>
      </c>
      <c r="H21" s="12"/>
      <c r="I21" s="12">
        <f t="shared" si="0"/>
        <v>32.573409728937115</v>
      </c>
      <c r="J21" s="12">
        <v>48.4</v>
      </c>
      <c r="K21" s="12"/>
      <c r="L21" s="12">
        <f t="shared" si="1"/>
        <v>33.051426223911029</v>
      </c>
      <c r="M21" s="12">
        <f t="shared" si="2"/>
        <v>32.812417976424072</v>
      </c>
      <c r="N21" s="12">
        <f t="shared" si="3"/>
        <v>0.33800870511508019</v>
      </c>
      <c r="O21" s="7"/>
    </row>
    <row r="22" spans="1:15" ht="16" x14ac:dyDescent="0.2">
      <c r="A22" s="13" t="s">
        <v>0</v>
      </c>
      <c r="B22" s="14">
        <v>30</v>
      </c>
      <c r="C22" s="14" t="s">
        <v>40</v>
      </c>
      <c r="D22" s="14">
        <v>60</v>
      </c>
      <c r="E22" s="14">
        <v>1</v>
      </c>
      <c r="F22" s="14">
        <v>1</v>
      </c>
      <c r="G22" s="14">
        <v>43.3</v>
      </c>
      <c r="H22" s="14">
        <f>$B$3-G22</f>
        <v>206.7</v>
      </c>
      <c r="I22" s="14">
        <f t="shared" si="0"/>
        <v>29.568734617672469</v>
      </c>
      <c r="J22" s="14">
        <v>43.7</v>
      </c>
      <c r="K22" s="14">
        <f>$B$3-J22</f>
        <v>206.3</v>
      </c>
      <c r="L22" s="14">
        <f t="shared" si="1"/>
        <v>29.841886900514712</v>
      </c>
      <c r="M22" s="14">
        <f t="shared" si="2"/>
        <v>29.705310759093592</v>
      </c>
      <c r="N22" s="14">
        <f t="shared" si="3"/>
        <v>0.19314783149433618</v>
      </c>
      <c r="O22" s="7"/>
    </row>
    <row r="23" spans="1:15" ht="16" x14ac:dyDescent="0.2">
      <c r="A23" s="13" t="s">
        <v>0</v>
      </c>
      <c r="B23" s="14">
        <v>30</v>
      </c>
      <c r="C23" s="14" t="s">
        <v>40</v>
      </c>
      <c r="D23" s="14">
        <v>120</v>
      </c>
      <c r="E23" s="14">
        <v>2</v>
      </c>
      <c r="F23" s="14">
        <v>1</v>
      </c>
      <c r="G23" s="14">
        <v>40.799999999999997</v>
      </c>
      <c r="H23" s="14">
        <f>H22-G23</f>
        <v>165.89999999999998</v>
      </c>
      <c r="I23" s="14">
        <f t="shared" si="0"/>
        <v>27.861532849908468</v>
      </c>
      <c r="J23" s="14">
        <v>41.2</v>
      </c>
      <c r="K23" s="14">
        <f>K22-J23</f>
        <v>165.10000000000002</v>
      </c>
      <c r="L23" s="14">
        <f t="shared" si="1"/>
        <v>28.134685132750711</v>
      </c>
      <c r="M23" s="14">
        <f t="shared" si="2"/>
        <v>27.998108991329588</v>
      </c>
      <c r="N23" s="14">
        <f t="shared" si="3"/>
        <v>0.19314783149433618</v>
      </c>
      <c r="O23" s="7"/>
    </row>
    <row r="24" spans="1:15" ht="16" x14ac:dyDescent="0.2">
      <c r="A24" s="13" t="s">
        <v>0</v>
      </c>
      <c r="B24" s="14">
        <v>30</v>
      </c>
      <c r="C24" s="14" t="s">
        <v>40</v>
      </c>
      <c r="D24" s="14">
        <v>180</v>
      </c>
      <c r="E24" s="14">
        <v>3</v>
      </c>
      <c r="F24" s="14">
        <v>1</v>
      </c>
      <c r="G24" s="14">
        <v>37</v>
      </c>
      <c r="H24" s="14">
        <f>H23-G24</f>
        <v>128.89999999999998</v>
      </c>
      <c r="I24" s="14">
        <f t="shared" si="0"/>
        <v>25.266586162907188</v>
      </c>
      <c r="J24" s="14">
        <v>38</v>
      </c>
      <c r="K24" s="14">
        <f>K23-J24</f>
        <v>127.10000000000002</v>
      </c>
      <c r="L24" s="14">
        <f t="shared" si="1"/>
        <v>25.949466870012792</v>
      </c>
      <c r="M24" s="14">
        <f t="shared" si="2"/>
        <v>25.60802651645999</v>
      </c>
      <c r="N24" s="14">
        <f t="shared" si="3"/>
        <v>0.48286957873583669</v>
      </c>
      <c r="O24" s="7"/>
    </row>
    <row r="25" spans="1:15" ht="16" x14ac:dyDescent="0.2">
      <c r="A25" s="13" t="s">
        <v>0</v>
      </c>
      <c r="B25" s="14">
        <v>30</v>
      </c>
      <c r="C25" s="14" t="s">
        <v>40</v>
      </c>
      <c r="D25" s="14">
        <v>240</v>
      </c>
      <c r="E25" s="14">
        <v>4</v>
      </c>
      <c r="F25" s="14">
        <v>1</v>
      </c>
      <c r="G25" s="14">
        <v>35.799999999999997</v>
      </c>
      <c r="H25" s="14">
        <f>H24-G25</f>
        <v>93.09999999999998</v>
      </c>
      <c r="I25" s="14">
        <f t="shared" si="0"/>
        <v>24.447129314380469</v>
      </c>
      <c r="J25" s="14">
        <v>36.200000000000003</v>
      </c>
      <c r="K25" s="14">
        <f>K24-J25</f>
        <v>90.90000000000002</v>
      </c>
      <c r="L25" s="14">
        <f t="shared" si="1"/>
        <v>24.720281597222712</v>
      </c>
      <c r="M25" s="14">
        <f t="shared" si="2"/>
        <v>24.583705455801592</v>
      </c>
      <c r="N25" s="14">
        <f t="shared" si="3"/>
        <v>0.19314783149433618</v>
      </c>
      <c r="O25" s="7"/>
    </row>
    <row r="26" spans="1:15" ht="16" x14ac:dyDescent="0.2">
      <c r="A26" s="13" t="s">
        <v>0</v>
      </c>
      <c r="B26" s="14">
        <v>30</v>
      </c>
      <c r="C26" s="14" t="s">
        <v>40</v>
      </c>
      <c r="D26" s="14">
        <v>300</v>
      </c>
      <c r="E26" s="14">
        <v>5</v>
      </c>
      <c r="F26" s="14">
        <v>1</v>
      </c>
      <c r="G26" s="14">
        <v>34.299999999999997</v>
      </c>
      <c r="H26" s="14">
        <f>H25-G26</f>
        <v>58.799999999999983</v>
      </c>
      <c r="I26" s="14">
        <f t="shared" si="0"/>
        <v>23.422808253722071</v>
      </c>
      <c r="J26" s="14">
        <v>34.799999999999997</v>
      </c>
      <c r="K26" s="14">
        <f>K25-J26</f>
        <v>56.100000000000023</v>
      </c>
      <c r="L26" s="14">
        <f t="shared" si="1"/>
        <v>23.764248607274869</v>
      </c>
      <c r="M26" s="14">
        <f t="shared" si="2"/>
        <v>23.59352843049847</v>
      </c>
      <c r="N26" s="14">
        <f t="shared" si="3"/>
        <v>0.24143478936791585</v>
      </c>
      <c r="O26" s="7"/>
    </row>
    <row r="27" spans="1:15" ht="1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6" x14ac:dyDescent="0.2">
      <c r="A28" s="37" t="s">
        <v>41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7"/>
    </row>
    <row r="29" spans="1:15" ht="68" x14ac:dyDescent="0.2">
      <c r="A29" s="10" t="s">
        <v>19</v>
      </c>
      <c r="B29" s="10" t="s">
        <v>26</v>
      </c>
      <c r="C29" s="10" t="s">
        <v>27</v>
      </c>
      <c r="D29" s="10" t="s">
        <v>28</v>
      </c>
      <c r="E29" s="10" t="s">
        <v>4</v>
      </c>
      <c r="F29" s="10" t="s">
        <v>29</v>
      </c>
      <c r="G29" s="10" t="s">
        <v>30</v>
      </c>
      <c r="H29" s="10" t="s">
        <v>31</v>
      </c>
      <c r="I29" s="10" t="s">
        <v>32</v>
      </c>
      <c r="J29" s="10" t="s">
        <v>33</v>
      </c>
      <c r="K29" s="10" t="s">
        <v>34</v>
      </c>
      <c r="L29" s="10" t="s">
        <v>35</v>
      </c>
      <c r="M29" s="10" t="s">
        <v>36</v>
      </c>
      <c r="N29" s="10" t="s">
        <v>37</v>
      </c>
      <c r="O29" s="7"/>
    </row>
    <row r="30" spans="1:15" ht="16" x14ac:dyDescent="0.2">
      <c r="A30" s="11" t="s">
        <v>5</v>
      </c>
      <c r="B30" s="12">
        <v>12</v>
      </c>
      <c r="C30" s="12" t="s">
        <v>39</v>
      </c>
      <c r="D30" s="12">
        <v>300</v>
      </c>
      <c r="E30" s="12">
        <v>5</v>
      </c>
      <c r="F30" s="12">
        <v>1</v>
      </c>
      <c r="G30" s="12">
        <v>47.3</v>
      </c>
      <c r="H30" s="12"/>
      <c r="I30" s="12">
        <f t="shared" ref="I30:I47" si="4">(G30/1000)/($B$2*F30)</f>
        <v>32.300257446094868</v>
      </c>
      <c r="J30" s="12">
        <v>47.9</v>
      </c>
      <c r="K30" s="12"/>
      <c r="L30" s="12">
        <f t="shared" ref="L30:L47" si="5">(J30/1000)/($B$2*F30)</f>
        <v>32.709985870358224</v>
      </c>
      <c r="M30" s="12">
        <f t="shared" ref="M30:M47" si="6">AVERAGE(I30,L30)</f>
        <v>32.505121658226543</v>
      </c>
      <c r="N30" s="12">
        <f t="shared" ref="N30:N47" si="7">STDEV(I30,L30)</f>
        <v>0.28972174724149802</v>
      </c>
      <c r="O30" s="7"/>
    </row>
    <row r="31" spans="1:15" ht="16" x14ac:dyDescent="0.2">
      <c r="A31" s="13" t="s">
        <v>5</v>
      </c>
      <c r="B31" s="14">
        <v>12</v>
      </c>
      <c r="C31" s="14" t="s">
        <v>42</v>
      </c>
      <c r="D31" s="14">
        <v>60</v>
      </c>
      <c r="E31" s="14">
        <v>1</v>
      </c>
      <c r="F31" s="14">
        <v>1</v>
      </c>
      <c r="G31" s="14">
        <v>42.1</v>
      </c>
      <c r="H31" s="14">
        <f>$B$3-G31</f>
        <v>207.9</v>
      </c>
      <c r="I31" s="14">
        <f t="shared" si="4"/>
        <v>28.749277769145749</v>
      </c>
      <c r="J31" s="14">
        <v>42.5</v>
      </c>
      <c r="K31" s="14">
        <f>$B$3-J31</f>
        <v>207.5</v>
      </c>
      <c r="L31" s="14">
        <f t="shared" si="5"/>
        <v>29.022430051987993</v>
      </c>
      <c r="M31" s="14">
        <f t="shared" si="6"/>
        <v>28.885853910566873</v>
      </c>
      <c r="N31" s="14">
        <f t="shared" si="7"/>
        <v>0.19314783149433618</v>
      </c>
      <c r="O31" s="7"/>
    </row>
    <row r="32" spans="1:15" ht="16" x14ac:dyDescent="0.2">
      <c r="A32" s="13" t="s">
        <v>5</v>
      </c>
      <c r="B32" s="14">
        <v>12</v>
      </c>
      <c r="C32" s="14" t="s">
        <v>42</v>
      </c>
      <c r="D32" s="14">
        <v>120</v>
      </c>
      <c r="E32" s="14">
        <v>2</v>
      </c>
      <c r="F32" s="14">
        <v>1</v>
      </c>
      <c r="G32" s="14">
        <v>33.5</v>
      </c>
      <c r="H32" s="14">
        <f>H31-G32</f>
        <v>174.4</v>
      </c>
      <c r="I32" s="14">
        <f t="shared" si="4"/>
        <v>22.876503688037594</v>
      </c>
      <c r="J32" s="14">
        <v>35</v>
      </c>
      <c r="K32" s="14">
        <f>K31-J32</f>
        <v>172.5</v>
      </c>
      <c r="L32" s="14">
        <f t="shared" si="5"/>
        <v>23.900824748695992</v>
      </c>
      <c r="M32" s="14">
        <f t="shared" si="6"/>
        <v>23.388664218366792</v>
      </c>
      <c r="N32" s="14">
        <f t="shared" si="7"/>
        <v>0.72430436810374998</v>
      </c>
      <c r="O32" s="7"/>
    </row>
    <row r="33" spans="1:15" ht="16" x14ac:dyDescent="0.2">
      <c r="A33" s="13" t="s">
        <v>5</v>
      </c>
      <c r="B33" s="14">
        <v>12</v>
      </c>
      <c r="C33" s="14" t="s">
        <v>42</v>
      </c>
      <c r="D33" s="14">
        <v>180</v>
      </c>
      <c r="E33" s="14">
        <v>3</v>
      </c>
      <c r="F33" s="14">
        <v>1</v>
      </c>
      <c r="G33" s="14">
        <v>30.2</v>
      </c>
      <c r="H33" s="14">
        <f>H32-G33</f>
        <v>144.20000000000002</v>
      </c>
      <c r="I33" s="14">
        <f t="shared" si="4"/>
        <v>20.62299735458911</v>
      </c>
      <c r="J33" s="14">
        <v>31.3</v>
      </c>
      <c r="K33" s="14">
        <f>K32-J33</f>
        <v>141.19999999999999</v>
      </c>
      <c r="L33" s="14">
        <f t="shared" si="5"/>
        <v>21.374166132405275</v>
      </c>
      <c r="M33" s="14">
        <f t="shared" si="6"/>
        <v>20.998581743497191</v>
      </c>
      <c r="N33" s="14">
        <f t="shared" si="7"/>
        <v>0.53115653660942141</v>
      </c>
      <c r="O33" s="7"/>
    </row>
    <row r="34" spans="1:15" ht="16" x14ac:dyDescent="0.2">
      <c r="A34" s="13" t="s">
        <v>5</v>
      </c>
      <c r="B34" s="14">
        <v>12</v>
      </c>
      <c r="C34" s="14" t="s">
        <v>42</v>
      </c>
      <c r="D34" s="14">
        <v>240</v>
      </c>
      <c r="E34" s="14">
        <v>4</v>
      </c>
      <c r="F34" s="14">
        <v>1</v>
      </c>
      <c r="G34" s="14">
        <v>22.7</v>
      </c>
      <c r="H34" s="14">
        <f>H33-G34</f>
        <v>121.50000000000001</v>
      </c>
      <c r="I34" s="14">
        <f t="shared" si="4"/>
        <v>15.501392051297113</v>
      </c>
      <c r="J34" s="14">
        <v>24.2</v>
      </c>
      <c r="K34" s="14">
        <f>K33-J34</f>
        <v>116.99999999999999</v>
      </c>
      <c r="L34" s="14">
        <f t="shared" si="5"/>
        <v>16.525713111955515</v>
      </c>
      <c r="M34" s="14">
        <f t="shared" si="6"/>
        <v>16.013552581626314</v>
      </c>
      <c r="N34" s="14">
        <f t="shared" si="7"/>
        <v>0.72430436810375254</v>
      </c>
      <c r="O34" s="7"/>
    </row>
    <row r="35" spans="1:15" ht="16" x14ac:dyDescent="0.2">
      <c r="A35" s="13" t="s">
        <v>5</v>
      </c>
      <c r="B35" s="14">
        <v>12</v>
      </c>
      <c r="C35" s="14" t="s">
        <v>42</v>
      </c>
      <c r="D35" s="14">
        <v>300</v>
      </c>
      <c r="E35" s="14">
        <v>5</v>
      </c>
      <c r="F35" s="14">
        <v>1</v>
      </c>
      <c r="G35" s="14">
        <v>20</v>
      </c>
      <c r="H35" s="14">
        <f>H34-G35</f>
        <v>101.50000000000001</v>
      </c>
      <c r="I35" s="14">
        <f t="shared" si="4"/>
        <v>13.657614142111996</v>
      </c>
      <c r="J35" s="14">
        <v>21</v>
      </c>
      <c r="K35" s="14">
        <f>K34-J35</f>
        <v>95.999999999999986</v>
      </c>
      <c r="L35" s="14">
        <f t="shared" si="5"/>
        <v>14.340494849217595</v>
      </c>
      <c r="M35" s="14">
        <f t="shared" si="6"/>
        <v>13.999054495664796</v>
      </c>
      <c r="N35" s="14">
        <f t="shared" si="7"/>
        <v>0.48286957873583419</v>
      </c>
      <c r="O35" s="7"/>
    </row>
    <row r="36" spans="1:15" ht="16" x14ac:dyDescent="0.2">
      <c r="A36" s="11" t="s">
        <v>1</v>
      </c>
      <c r="B36" s="12">
        <v>30</v>
      </c>
      <c r="C36" s="12" t="s">
        <v>39</v>
      </c>
      <c r="D36" s="12">
        <v>300</v>
      </c>
      <c r="E36" s="12">
        <v>5</v>
      </c>
      <c r="F36" s="12">
        <v>1</v>
      </c>
      <c r="G36" s="12">
        <v>47.5</v>
      </c>
      <c r="H36" s="12"/>
      <c r="I36" s="12">
        <f t="shared" si="4"/>
        <v>32.436833587515991</v>
      </c>
      <c r="J36" s="12">
        <v>48.1</v>
      </c>
      <c r="K36" s="12"/>
      <c r="L36" s="12">
        <f t="shared" si="5"/>
        <v>32.846562011779348</v>
      </c>
      <c r="M36" s="12">
        <f t="shared" si="6"/>
        <v>32.641697799647673</v>
      </c>
      <c r="N36" s="12">
        <f t="shared" si="7"/>
        <v>0.28972174724149802</v>
      </c>
      <c r="O36" s="7"/>
    </row>
    <row r="37" spans="1:15" ht="16" x14ac:dyDescent="0.2">
      <c r="A37" s="13" t="s">
        <v>1</v>
      </c>
      <c r="B37" s="14">
        <v>30</v>
      </c>
      <c r="C37" s="14" t="s">
        <v>42</v>
      </c>
      <c r="D37" s="14">
        <v>60</v>
      </c>
      <c r="E37" s="14">
        <v>1</v>
      </c>
      <c r="F37" s="14">
        <v>1</v>
      </c>
      <c r="G37" s="14">
        <v>41.8</v>
      </c>
      <c r="H37" s="14">
        <f>$B$3-G37</f>
        <v>208.2</v>
      </c>
      <c r="I37" s="14">
        <f t="shared" si="4"/>
        <v>28.544413557014067</v>
      </c>
      <c r="J37" s="14">
        <v>42.3</v>
      </c>
      <c r="K37" s="14">
        <f>$B$3-J37</f>
        <v>207.7</v>
      </c>
      <c r="L37" s="14">
        <f t="shared" si="5"/>
        <v>28.885853910566869</v>
      </c>
      <c r="M37" s="14">
        <f t="shared" si="6"/>
        <v>28.715133733790466</v>
      </c>
      <c r="N37" s="14">
        <f t="shared" si="7"/>
        <v>0.24143478936791835</v>
      </c>
      <c r="O37" s="7"/>
    </row>
    <row r="38" spans="1:15" ht="16" x14ac:dyDescent="0.2">
      <c r="A38" s="13" t="s">
        <v>1</v>
      </c>
      <c r="B38" s="14">
        <v>30</v>
      </c>
      <c r="C38" s="14" t="s">
        <v>42</v>
      </c>
      <c r="D38" s="14">
        <v>120</v>
      </c>
      <c r="E38" s="14">
        <v>2</v>
      </c>
      <c r="F38" s="14">
        <v>1</v>
      </c>
      <c r="G38" s="14">
        <v>37.799999999999997</v>
      </c>
      <c r="H38" s="14">
        <f>H37-G38</f>
        <v>170.39999999999998</v>
      </c>
      <c r="I38" s="14">
        <f t="shared" si="4"/>
        <v>25.812890728591672</v>
      </c>
      <c r="J38" s="14">
        <v>39.200000000000003</v>
      </c>
      <c r="K38" s="14">
        <f>K37-J38</f>
        <v>168.5</v>
      </c>
      <c r="L38" s="14">
        <f t="shared" si="5"/>
        <v>26.768923718539515</v>
      </c>
      <c r="M38" s="14">
        <f t="shared" si="6"/>
        <v>26.290907223565593</v>
      </c>
      <c r="N38" s="14">
        <f t="shared" si="7"/>
        <v>0.67601741023017037</v>
      </c>
      <c r="O38" s="7"/>
    </row>
    <row r="39" spans="1:15" ht="16" x14ac:dyDescent="0.2">
      <c r="A39" s="13" t="s">
        <v>1</v>
      </c>
      <c r="B39" s="14">
        <v>30</v>
      </c>
      <c r="C39" s="14" t="s">
        <v>42</v>
      </c>
      <c r="D39" s="14">
        <v>180</v>
      </c>
      <c r="E39" s="14">
        <v>3</v>
      </c>
      <c r="F39" s="14">
        <v>1</v>
      </c>
      <c r="G39" s="14">
        <v>34.5</v>
      </c>
      <c r="H39" s="14">
        <f>H38-G39</f>
        <v>135.89999999999998</v>
      </c>
      <c r="I39" s="14">
        <f t="shared" si="4"/>
        <v>23.559384395143194</v>
      </c>
      <c r="J39" s="14">
        <v>34.9</v>
      </c>
      <c r="K39" s="14">
        <f>K38-J39</f>
        <v>133.6</v>
      </c>
      <c r="L39" s="14">
        <f t="shared" si="5"/>
        <v>23.832536677985431</v>
      </c>
      <c r="M39" s="14">
        <f t="shared" si="6"/>
        <v>23.695960536564314</v>
      </c>
      <c r="N39" s="14">
        <f t="shared" si="7"/>
        <v>0.19314783149433118</v>
      </c>
      <c r="O39" s="7"/>
    </row>
    <row r="40" spans="1:15" ht="16" x14ac:dyDescent="0.2">
      <c r="A40" s="13" t="s">
        <v>1</v>
      </c>
      <c r="B40" s="14">
        <v>30</v>
      </c>
      <c r="C40" s="14" t="s">
        <v>42</v>
      </c>
      <c r="D40" s="14">
        <v>240</v>
      </c>
      <c r="E40" s="14">
        <v>4</v>
      </c>
      <c r="F40" s="14">
        <v>1</v>
      </c>
      <c r="G40" s="14">
        <v>32</v>
      </c>
      <c r="H40" s="14">
        <f>H39-G40</f>
        <v>103.89999999999998</v>
      </c>
      <c r="I40" s="14">
        <f t="shared" si="4"/>
        <v>21.852182627379193</v>
      </c>
      <c r="J40" s="14">
        <v>33</v>
      </c>
      <c r="K40" s="14">
        <f>K39-J40</f>
        <v>100.6</v>
      </c>
      <c r="L40" s="14">
        <f t="shared" si="5"/>
        <v>22.535063334484793</v>
      </c>
      <c r="M40" s="14">
        <f t="shared" si="6"/>
        <v>22.193622980931991</v>
      </c>
      <c r="N40" s="14">
        <f t="shared" si="7"/>
        <v>0.48286957873583419</v>
      </c>
      <c r="O40" s="7"/>
    </row>
    <row r="41" spans="1:15" ht="16" x14ac:dyDescent="0.2">
      <c r="A41" s="13" t="s">
        <v>1</v>
      </c>
      <c r="B41" s="14">
        <v>30</v>
      </c>
      <c r="C41" s="14" t="s">
        <v>42</v>
      </c>
      <c r="D41" s="14">
        <v>300</v>
      </c>
      <c r="E41" s="14">
        <v>5</v>
      </c>
      <c r="F41" s="14">
        <v>1</v>
      </c>
      <c r="G41" s="14">
        <v>30.5</v>
      </c>
      <c r="H41" s="14">
        <f>H40-G41</f>
        <v>73.399999999999977</v>
      </c>
      <c r="I41" s="14">
        <f t="shared" si="4"/>
        <v>20.827861566720792</v>
      </c>
      <c r="J41" s="14">
        <v>31</v>
      </c>
      <c r="K41" s="14">
        <f>K40-J41</f>
        <v>69.599999999999994</v>
      </c>
      <c r="L41" s="14">
        <f t="shared" si="5"/>
        <v>21.169301920273593</v>
      </c>
      <c r="M41" s="14">
        <f t="shared" si="6"/>
        <v>20.998581743497191</v>
      </c>
      <c r="N41" s="14">
        <f t="shared" si="7"/>
        <v>0.24143478936791835</v>
      </c>
      <c r="O41" s="7"/>
    </row>
    <row r="42" spans="1:15" ht="16" x14ac:dyDescent="0.2">
      <c r="A42" s="11" t="s">
        <v>0</v>
      </c>
      <c r="B42" s="12">
        <v>30</v>
      </c>
      <c r="C42" s="12" t="s">
        <v>39</v>
      </c>
      <c r="D42" s="12">
        <v>300</v>
      </c>
      <c r="E42" s="12">
        <v>5</v>
      </c>
      <c r="F42" s="12">
        <v>1</v>
      </c>
      <c r="G42" s="12">
        <v>47.9</v>
      </c>
      <c r="H42" s="12"/>
      <c r="I42" s="12">
        <f t="shared" si="4"/>
        <v>32.709985870358224</v>
      </c>
      <c r="J42" s="12">
        <v>48.5</v>
      </c>
      <c r="K42" s="12"/>
      <c r="L42" s="12">
        <f t="shared" si="5"/>
        <v>33.119714294621588</v>
      </c>
      <c r="M42" s="12">
        <f t="shared" si="6"/>
        <v>32.914850082489906</v>
      </c>
      <c r="N42" s="12">
        <f t="shared" si="7"/>
        <v>0.28972174724150301</v>
      </c>
      <c r="O42" s="7"/>
    </row>
    <row r="43" spans="1:15" ht="16" x14ac:dyDescent="0.2">
      <c r="A43" s="13" t="s">
        <v>0</v>
      </c>
      <c r="B43" s="14">
        <v>30</v>
      </c>
      <c r="C43" s="14" t="s">
        <v>42</v>
      </c>
      <c r="D43" s="14">
        <v>60</v>
      </c>
      <c r="E43" s="14">
        <v>1</v>
      </c>
      <c r="F43" s="14">
        <v>1</v>
      </c>
      <c r="G43" s="14">
        <v>43.6</v>
      </c>
      <c r="H43" s="14">
        <f>$B$3-G43</f>
        <v>206.4</v>
      </c>
      <c r="I43" s="14">
        <f t="shared" si="4"/>
        <v>29.773598829804151</v>
      </c>
      <c r="J43" s="14">
        <v>44</v>
      </c>
      <c r="K43" s="14">
        <f>$B$3-J43</f>
        <v>206</v>
      </c>
      <c r="L43" s="14">
        <f t="shared" si="5"/>
        <v>30.046751112646387</v>
      </c>
      <c r="M43" s="14">
        <f t="shared" si="6"/>
        <v>29.910174971225267</v>
      </c>
      <c r="N43" s="14">
        <f t="shared" si="7"/>
        <v>0.19314783149433118</v>
      </c>
      <c r="O43" s="7"/>
    </row>
    <row r="44" spans="1:15" ht="16" x14ac:dyDescent="0.2">
      <c r="A44" s="13" t="s">
        <v>0</v>
      </c>
      <c r="B44" s="14">
        <v>30</v>
      </c>
      <c r="C44" s="14" t="s">
        <v>42</v>
      </c>
      <c r="D44" s="14">
        <v>120</v>
      </c>
      <c r="E44" s="14">
        <v>2</v>
      </c>
      <c r="F44" s="14">
        <v>1</v>
      </c>
      <c r="G44" s="14">
        <v>42.2</v>
      </c>
      <c r="H44" s="14">
        <f>H43-G44</f>
        <v>164.2</v>
      </c>
      <c r="I44" s="14">
        <f t="shared" si="4"/>
        <v>28.817565839856311</v>
      </c>
      <c r="J44" s="14">
        <v>42.7</v>
      </c>
      <c r="K44" s="14">
        <f>K43-J44</f>
        <v>163.30000000000001</v>
      </c>
      <c r="L44" s="14">
        <f t="shared" si="5"/>
        <v>29.159006193409112</v>
      </c>
      <c r="M44" s="14">
        <f t="shared" si="6"/>
        <v>28.988286016632713</v>
      </c>
      <c r="N44" s="14">
        <f t="shared" si="7"/>
        <v>0.24143478936791835</v>
      </c>
      <c r="O44" s="7"/>
    </row>
    <row r="45" spans="1:15" ht="16" x14ac:dyDescent="0.2">
      <c r="A45" s="13" t="s">
        <v>0</v>
      </c>
      <c r="B45" s="14">
        <v>30</v>
      </c>
      <c r="C45" s="14" t="s">
        <v>42</v>
      </c>
      <c r="D45" s="14">
        <v>180</v>
      </c>
      <c r="E45" s="14">
        <v>3</v>
      </c>
      <c r="F45" s="14">
        <v>1</v>
      </c>
      <c r="G45" s="14">
        <v>38.700000000000003</v>
      </c>
      <c r="H45" s="14">
        <f>H44-G45</f>
        <v>125.49999999999999</v>
      </c>
      <c r="I45" s="14">
        <f t="shared" si="4"/>
        <v>26.427483364986713</v>
      </c>
      <c r="J45" s="14">
        <v>39.200000000000003</v>
      </c>
      <c r="K45" s="14">
        <f>K44-J45</f>
        <v>124.10000000000001</v>
      </c>
      <c r="L45" s="14">
        <f t="shared" si="5"/>
        <v>26.768923718539515</v>
      </c>
      <c r="M45" s="14">
        <f t="shared" si="6"/>
        <v>26.598203541763112</v>
      </c>
      <c r="N45" s="14">
        <f t="shared" si="7"/>
        <v>0.24143478936791835</v>
      </c>
      <c r="O45" s="7"/>
    </row>
    <row r="46" spans="1:15" ht="16" x14ac:dyDescent="0.2">
      <c r="A46" s="13" t="s">
        <v>0</v>
      </c>
      <c r="B46" s="14">
        <v>30</v>
      </c>
      <c r="C46" s="14" t="s">
        <v>42</v>
      </c>
      <c r="D46" s="14">
        <v>240</v>
      </c>
      <c r="E46" s="14">
        <v>4</v>
      </c>
      <c r="F46" s="14">
        <v>1</v>
      </c>
      <c r="G46" s="14">
        <v>35</v>
      </c>
      <c r="H46" s="14">
        <f>H45-G46</f>
        <v>90.499999999999986</v>
      </c>
      <c r="I46" s="14">
        <f t="shared" si="4"/>
        <v>23.900824748695992</v>
      </c>
      <c r="J46" s="14">
        <v>36.200000000000003</v>
      </c>
      <c r="K46" s="14">
        <f>K45-J46</f>
        <v>87.9</v>
      </c>
      <c r="L46" s="14">
        <f t="shared" si="5"/>
        <v>24.720281597222712</v>
      </c>
      <c r="M46" s="14">
        <f t="shared" si="6"/>
        <v>24.310553172959352</v>
      </c>
      <c r="N46" s="14">
        <f t="shared" si="7"/>
        <v>0.57944349448300103</v>
      </c>
      <c r="O46" s="7"/>
    </row>
    <row r="47" spans="1:15" ht="16" x14ac:dyDescent="0.2">
      <c r="A47" s="13" t="s">
        <v>0</v>
      </c>
      <c r="B47" s="14">
        <v>30</v>
      </c>
      <c r="C47" s="14" t="s">
        <v>42</v>
      </c>
      <c r="D47" s="14">
        <v>300</v>
      </c>
      <c r="E47" s="14">
        <v>5</v>
      </c>
      <c r="F47" s="14">
        <v>1</v>
      </c>
      <c r="G47" s="14">
        <v>34.5</v>
      </c>
      <c r="H47" s="14">
        <f>H46-G47</f>
        <v>55.999999999999986</v>
      </c>
      <c r="I47" s="14">
        <f t="shared" si="4"/>
        <v>23.559384395143194</v>
      </c>
      <c r="J47" s="14">
        <v>34.9</v>
      </c>
      <c r="K47" s="14">
        <f>K46-J47</f>
        <v>53.000000000000007</v>
      </c>
      <c r="L47" s="14">
        <f t="shared" si="5"/>
        <v>23.832536677985431</v>
      </c>
      <c r="M47" s="14">
        <f t="shared" si="6"/>
        <v>23.695960536564314</v>
      </c>
      <c r="N47" s="14">
        <f t="shared" si="7"/>
        <v>0.19314783149433118</v>
      </c>
      <c r="O47" s="7"/>
    </row>
  </sheetData>
  <mergeCells count="2">
    <mergeCell ref="A7:N7"/>
    <mergeCell ref="A28:N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6ED7-2922-D543-9315-1CB3CC983987}">
  <dimension ref="A1:Q65"/>
  <sheetViews>
    <sheetView zoomScale="75" workbookViewId="0">
      <selection activeCell="F10" sqref="F10"/>
    </sheetView>
  </sheetViews>
  <sheetFormatPr baseColWidth="10" defaultColWidth="8.83203125" defaultRowHeight="16" x14ac:dyDescent="0.2"/>
  <cols>
    <col min="1" max="1" width="14" style="17" customWidth="1"/>
    <col min="2" max="2" width="12" style="17" customWidth="1"/>
    <col min="3" max="3" width="18" style="17" customWidth="1"/>
    <col min="4" max="4" width="11" style="17" customWidth="1"/>
    <col min="5" max="5" width="8" style="17" customWidth="1"/>
    <col min="6" max="6" width="9" style="17" customWidth="1"/>
    <col min="7" max="8" width="16" style="17" customWidth="1"/>
    <col min="9" max="9" width="13" style="17" customWidth="1"/>
    <col min="10" max="11" width="16" style="17" customWidth="1"/>
    <col min="12" max="12" width="13" style="17" customWidth="1"/>
    <col min="13" max="13" width="14" style="17" customWidth="1"/>
    <col min="14" max="14" width="12" style="17" customWidth="1"/>
    <col min="15" max="15" width="16" style="17" customWidth="1"/>
    <col min="16" max="16" width="15" style="17" customWidth="1"/>
    <col min="17" max="17" width="14" style="17" customWidth="1"/>
    <col min="18" max="16384" width="8.83203125" style="17"/>
  </cols>
  <sheetData>
    <row r="1" spans="1:17" x14ac:dyDescent="0.2">
      <c r="A1" s="5" t="s">
        <v>17</v>
      </c>
      <c r="B1" s="5" t="s">
        <v>18</v>
      </c>
      <c r="C1" s="16"/>
      <c r="D1" s="5" t="s">
        <v>19</v>
      </c>
      <c r="E1" s="5" t="s">
        <v>20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">
      <c r="A2" s="17" t="s">
        <v>21</v>
      </c>
      <c r="B2" s="18">
        <v>1.4643846129999999E-3</v>
      </c>
      <c r="D2" s="17" t="s">
        <v>5</v>
      </c>
      <c r="E2" s="19">
        <v>12</v>
      </c>
    </row>
    <row r="3" spans="1:17" x14ac:dyDescent="0.2">
      <c r="A3" s="17" t="s">
        <v>22</v>
      </c>
      <c r="B3" s="19">
        <v>250</v>
      </c>
      <c r="D3" s="17" t="s">
        <v>1</v>
      </c>
      <c r="E3" s="19">
        <v>30</v>
      </c>
    </row>
    <row r="4" spans="1:17" x14ac:dyDescent="0.2">
      <c r="A4" s="17" t="s">
        <v>23</v>
      </c>
      <c r="B4" s="19">
        <v>20</v>
      </c>
      <c r="D4" s="17" t="s">
        <v>0</v>
      </c>
      <c r="E4" s="19">
        <v>30</v>
      </c>
    </row>
    <row r="5" spans="1:17" x14ac:dyDescent="0.2">
      <c r="A5" s="17" t="s">
        <v>24</v>
      </c>
      <c r="B5" s="19">
        <v>7</v>
      </c>
    </row>
    <row r="7" spans="1:17" x14ac:dyDescent="0.2">
      <c r="A7" s="37" t="s">
        <v>25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</row>
    <row r="8" spans="1:17" ht="34" x14ac:dyDescent="0.2">
      <c r="A8" s="10" t="s">
        <v>19</v>
      </c>
      <c r="B8" s="10" t="s">
        <v>26</v>
      </c>
      <c r="C8" s="10" t="s">
        <v>27</v>
      </c>
      <c r="D8" s="10" t="s">
        <v>28</v>
      </c>
      <c r="E8" s="10" t="s">
        <v>4</v>
      </c>
      <c r="F8" s="10" t="s">
        <v>29</v>
      </c>
      <c r="G8" s="10" t="s">
        <v>30</v>
      </c>
      <c r="H8" s="10" t="s">
        <v>31</v>
      </c>
      <c r="I8" s="10" t="s">
        <v>32</v>
      </c>
      <c r="J8" s="10" t="s">
        <v>33</v>
      </c>
      <c r="K8" s="10" t="s">
        <v>34</v>
      </c>
      <c r="L8" s="10" t="s">
        <v>35</v>
      </c>
      <c r="M8" s="10" t="s">
        <v>36</v>
      </c>
      <c r="N8" s="10" t="s">
        <v>37</v>
      </c>
      <c r="O8" s="10" t="s">
        <v>38</v>
      </c>
      <c r="P8" s="10" t="s">
        <v>43</v>
      </c>
      <c r="Q8" s="10" t="s">
        <v>44</v>
      </c>
    </row>
    <row r="9" spans="1:17" x14ac:dyDescent="0.2">
      <c r="A9" s="20" t="s">
        <v>5</v>
      </c>
      <c r="B9" s="21">
        <v>12</v>
      </c>
      <c r="C9" s="21" t="s">
        <v>39</v>
      </c>
      <c r="D9" s="21">
        <v>300</v>
      </c>
      <c r="E9" s="21">
        <v>5</v>
      </c>
      <c r="F9" s="21">
        <v>1</v>
      </c>
      <c r="G9" s="21">
        <v>47.6</v>
      </c>
      <c r="H9" s="21"/>
      <c r="I9" s="21">
        <f t="shared" ref="I9:I14" si="0">(G9/1000)/($B$2*F9)</f>
        <v>32.50512165822655</v>
      </c>
      <c r="J9" s="21">
        <v>48.2</v>
      </c>
      <c r="K9" s="21"/>
      <c r="L9" s="21">
        <f t="shared" ref="L9:L14" si="1">(J9/1000)/($B$2*F9)</f>
        <v>32.914850082489906</v>
      </c>
      <c r="M9" s="21">
        <f t="shared" ref="M9:M14" si="2">AVERAGE(I9,L9)</f>
        <v>32.709985870358224</v>
      </c>
      <c r="N9" s="21">
        <f t="shared" ref="N9:N14" si="3">STDEV(I9,L9)</f>
        <v>0.28972174724149802</v>
      </c>
      <c r="O9" s="21">
        <f t="shared" ref="O9:O14" si="4">M9/B9</f>
        <v>2.7258321558631855</v>
      </c>
      <c r="P9" s="21"/>
      <c r="Q9" s="21"/>
    </row>
    <row r="10" spans="1:17" x14ac:dyDescent="0.2">
      <c r="A10" s="22" t="s">
        <v>5</v>
      </c>
      <c r="B10" s="23">
        <v>12</v>
      </c>
      <c r="C10" s="23" t="s">
        <v>40</v>
      </c>
      <c r="D10" s="23">
        <v>60</v>
      </c>
      <c r="E10" s="23">
        <v>1</v>
      </c>
      <c r="F10" s="23">
        <v>1</v>
      </c>
      <c r="G10" s="23">
        <v>43.1</v>
      </c>
      <c r="H10" s="23">
        <f>$B$3-G10</f>
        <v>206.9</v>
      </c>
      <c r="I10" s="23">
        <f t="shared" si="0"/>
        <v>29.432158476251349</v>
      </c>
      <c r="J10" s="23">
        <v>43.6</v>
      </c>
      <c r="K10" s="23">
        <f>$B$3-J10</f>
        <v>206.4</v>
      </c>
      <c r="L10" s="23">
        <f t="shared" si="1"/>
        <v>29.773598829804151</v>
      </c>
      <c r="M10" s="23">
        <f t="shared" si="2"/>
        <v>29.602878653027751</v>
      </c>
      <c r="N10" s="23">
        <f t="shared" si="3"/>
        <v>0.24143478936791835</v>
      </c>
      <c r="O10" s="23">
        <f t="shared" si="4"/>
        <v>2.4669065544189794</v>
      </c>
      <c r="P10" s="23"/>
      <c r="Q10" s="23"/>
    </row>
    <row r="11" spans="1:17" x14ac:dyDescent="0.2">
      <c r="A11" s="22" t="s">
        <v>5</v>
      </c>
      <c r="B11" s="23">
        <v>12</v>
      </c>
      <c r="C11" s="23" t="s">
        <v>40</v>
      </c>
      <c r="D11" s="23">
        <v>120</v>
      </c>
      <c r="E11" s="23">
        <v>2</v>
      </c>
      <c r="F11" s="23">
        <v>1</v>
      </c>
      <c r="G11" s="23">
        <v>36.1</v>
      </c>
      <c r="H11" s="23">
        <f>H10-G11</f>
        <v>170.8</v>
      </c>
      <c r="I11" s="23">
        <f t="shared" si="0"/>
        <v>24.65199352651215</v>
      </c>
      <c r="J11" s="23">
        <v>36.5</v>
      </c>
      <c r="K11" s="23">
        <f>K10-J11</f>
        <v>169.9</v>
      </c>
      <c r="L11" s="23">
        <f t="shared" si="1"/>
        <v>24.92514580935439</v>
      </c>
      <c r="M11" s="23">
        <f t="shared" si="2"/>
        <v>24.78856966793327</v>
      </c>
      <c r="N11" s="23">
        <f t="shared" si="3"/>
        <v>0.19314783149433368</v>
      </c>
      <c r="O11" s="23">
        <f t="shared" si="4"/>
        <v>2.0657141389944393</v>
      </c>
      <c r="P11" s="23"/>
      <c r="Q11" s="23"/>
    </row>
    <row r="12" spans="1:17" x14ac:dyDescent="0.2">
      <c r="A12" s="22" t="s">
        <v>5</v>
      </c>
      <c r="B12" s="23">
        <v>12</v>
      </c>
      <c r="C12" s="23" t="s">
        <v>40</v>
      </c>
      <c r="D12" s="23">
        <v>180</v>
      </c>
      <c r="E12" s="23">
        <v>3</v>
      </c>
      <c r="F12" s="23">
        <v>1</v>
      </c>
      <c r="G12" s="23">
        <v>31.8</v>
      </c>
      <c r="H12" s="23">
        <f>H11-G12</f>
        <v>139</v>
      </c>
      <c r="I12" s="23">
        <f t="shared" si="0"/>
        <v>21.715606485958073</v>
      </c>
      <c r="J12" s="23">
        <v>32.9</v>
      </c>
      <c r="K12" s="23">
        <f>K11-J12</f>
        <v>137</v>
      </c>
      <c r="L12" s="23">
        <f t="shared" si="1"/>
        <v>22.466775263774231</v>
      </c>
      <c r="M12" s="23">
        <f t="shared" si="2"/>
        <v>22.09119087486615</v>
      </c>
      <c r="N12" s="23">
        <f t="shared" si="3"/>
        <v>0.53115653660941631</v>
      </c>
      <c r="O12" s="23">
        <f t="shared" si="4"/>
        <v>1.8409325729055126</v>
      </c>
      <c r="P12" s="23"/>
      <c r="Q12" s="23"/>
    </row>
    <row r="13" spans="1:17" x14ac:dyDescent="0.2">
      <c r="A13" s="22" t="s">
        <v>5</v>
      </c>
      <c r="B13" s="23">
        <v>12</v>
      </c>
      <c r="C13" s="23" t="s">
        <v>40</v>
      </c>
      <c r="D13" s="23">
        <v>240</v>
      </c>
      <c r="E13" s="23">
        <v>4</v>
      </c>
      <c r="F13" s="23">
        <v>1</v>
      </c>
      <c r="G13" s="23">
        <v>24.1</v>
      </c>
      <c r="H13" s="23">
        <f>H12-G13</f>
        <v>114.9</v>
      </c>
      <c r="I13" s="23">
        <f t="shared" si="0"/>
        <v>16.457425041244953</v>
      </c>
      <c r="J13" s="23">
        <v>25.1</v>
      </c>
      <c r="K13" s="23">
        <f>K12-J13</f>
        <v>111.9</v>
      </c>
      <c r="L13" s="23">
        <f t="shared" si="1"/>
        <v>17.140305748350553</v>
      </c>
      <c r="M13" s="23">
        <f t="shared" si="2"/>
        <v>16.798865394797751</v>
      </c>
      <c r="N13" s="23">
        <f t="shared" si="3"/>
        <v>0.48286957873583419</v>
      </c>
      <c r="O13" s="23">
        <f t="shared" si="4"/>
        <v>1.3999054495664793</v>
      </c>
      <c r="P13" s="23"/>
      <c r="Q13" s="23"/>
    </row>
    <row r="14" spans="1:17" x14ac:dyDescent="0.2">
      <c r="A14" s="22" t="s">
        <v>5</v>
      </c>
      <c r="B14" s="23">
        <v>12</v>
      </c>
      <c r="C14" s="23" t="s">
        <v>40</v>
      </c>
      <c r="D14" s="23">
        <v>300</v>
      </c>
      <c r="E14" s="23">
        <v>5</v>
      </c>
      <c r="F14" s="23">
        <v>1</v>
      </c>
      <c r="G14" s="23">
        <v>21.4</v>
      </c>
      <c r="H14" s="23">
        <f>H13-G14</f>
        <v>93.5</v>
      </c>
      <c r="I14" s="23">
        <f t="shared" si="0"/>
        <v>14.613647132059834</v>
      </c>
      <c r="J14" s="23">
        <v>22.5</v>
      </c>
      <c r="K14" s="23">
        <f>K13-J14</f>
        <v>89.4</v>
      </c>
      <c r="L14" s="23">
        <f t="shared" si="1"/>
        <v>15.364815909875993</v>
      </c>
      <c r="M14" s="23">
        <f t="shared" si="2"/>
        <v>14.989231520967913</v>
      </c>
      <c r="N14" s="23">
        <f t="shared" si="3"/>
        <v>0.53115653660941764</v>
      </c>
      <c r="O14" s="23">
        <f t="shared" si="4"/>
        <v>1.249102626747326</v>
      </c>
      <c r="P14" s="23"/>
      <c r="Q14" s="23"/>
    </row>
    <row r="15" spans="1:17" x14ac:dyDescent="0.2">
      <c r="A15" s="24" t="s">
        <v>5</v>
      </c>
      <c r="B15" s="25">
        <v>0</v>
      </c>
      <c r="C15" s="25" t="s">
        <v>45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</row>
    <row r="16" spans="1:17" x14ac:dyDescent="0.2">
      <c r="A16" s="26" t="s">
        <v>5</v>
      </c>
      <c r="B16" s="27">
        <v>12</v>
      </c>
      <c r="C16" s="27" t="s">
        <v>46</v>
      </c>
      <c r="D16" s="27">
        <v>60</v>
      </c>
      <c r="E16" s="27">
        <v>1</v>
      </c>
      <c r="F16" s="27">
        <v>1</v>
      </c>
      <c r="G16" s="27">
        <v>27.1</v>
      </c>
      <c r="H16" s="27">
        <f>$B$3-G16</f>
        <v>222.9</v>
      </c>
      <c r="I16" s="27">
        <f t="shared" ref="I16:I23" si="5">(G16/1000)/($B$2*F16)</f>
        <v>18.506067162561756</v>
      </c>
      <c r="J16" s="27">
        <v>27.7</v>
      </c>
      <c r="K16" s="27">
        <f>$B$3-J16</f>
        <v>222.3</v>
      </c>
      <c r="L16" s="27">
        <f t="shared" ref="L16:L23" si="6">(J16/1000)/($B$2*F16)</f>
        <v>18.915795586825112</v>
      </c>
      <c r="M16" s="27">
        <f t="shared" ref="M16:M23" si="7">AVERAGE(I16,L16)</f>
        <v>18.710931374693434</v>
      </c>
      <c r="N16" s="27">
        <f t="shared" ref="N16:N23" si="8">STDEV(I16,L16)</f>
        <v>0.28972174724149802</v>
      </c>
      <c r="O16" s="27">
        <f t="shared" ref="O16:O23" si="9">M16/B16</f>
        <v>1.5592442812244529</v>
      </c>
      <c r="P16" s="27"/>
      <c r="Q16" s="27"/>
    </row>
    <row r="17" spans="1:17" x14ac:dyDescent="0.2">
      <c r="A17" s="26" t="s">
        <v>5</v>
      </c>
      <c r="B17" s="27">
        <v>12</v>
      </c>
      <c r="C17" s="27" t="s">
        <v>46</v>
      </c>
      <c r="D17" s="27">
        <v>120</v>
      </c>
      <c r="E17" s="27">
        <v>2</v>
      </c>
      <c r="F17" s="27">
        <v>1</v>
      </c>
      <c r="G17" s="27">
        <v>25.8</v>
      </c>
      <c r="H17" s="27">
        <f>H16-G17</f>
        <v>197.1</v>
      </c>
      <c r="I17" s="27">
        <f t="shared" si="5"/>
        <v>17.618322243324474</v>
      </c>
      <c r="J17" s="27">
        <v>26.9</v>
      </c>
      <c r="K17" s="27">
        <f>K16-J17</f>
        <v>195.4</v>
      </c>
      <c r="L17" s="27">
        <f t="shared" si="6"/>
        <v>18.369491021140632</v>
      </c>
      <c r="M17" s="27">
        <f t="shared" si="7"/>
        <v>17.993906632232552</v>
      </c>
      <c r="N17" s="27">
        <f t="shared" si="8"/>
        <v>0.53115653660941631</v>
      </c>
      <c r="O17" s="27">
        <f t="shared" si="9"/>
        <v>1.4994922193527127</v>
      </c>
      <c r="P17" s="27">
        <f>AVERAGE(I17/I9*100,L17/L9*100)</f>
        <v>55.005404651487154</v>
      </c>
      <c r="Q17" s="27">
        <f>STDEV(I17/I9*100,L17/L9*100)</f>
        <v>1.1366373518149122</v>
      </c>
    </row>
    <row r="18" spans="1:17" x14ac:dyDescent="0.2">
      <c r="A18" s="20" t="s">
        <v>1</v>
      </c>
      <c r="B18" s="21">
        <v>30</v>
      </c>
      <c r="C18" s="21" t="s">
        <v>39</v>
      </c>
      <c r="D18" s="21">
        <v>300</v>
      </c>
      <c r="E18" s="21">
        <v>5</v>
      </c>
      <c r="F18" s="21">
        <v>1</v>
      </c>
      <c r="G18" s="21">
        <v>47.4</v>
      </c>
      <c r="H18" s="21"/>
      <c r="I18" s="21">
        <f t="shared" si="5"/>
        <v>32.368545516805426</v>
      </c>
      <c r="J18" s="21">
        <v>47.8</v>
      </c>
      <c r="K18" s="21"/>
      <c r="L18" s="21">
        <f t="shared" si="6"/>
        <v>32.641697799647666</v>
      </c>
      <c r="M18" s="21">
        <f t="shared" si="7"/>
        <v>32.505121658226543</v>
      </c>
      <c r="N18" s="21">
        <f t="shared" si="8"/>
        <v>0.1931478314943337</v>
      </c>
      <c r="O18" s="21">
        <f t="shared" si="9"/>
        <v>1.0835040552742181</v>
      </c>
      <c r="P18" s="21"/>
      <c r="Q18" s="21"/>
    </row>
    <row r="19" spans="1:17" x14ac:dyDescent="0.2">
      <c r="A19" s="22" t="s">
        <v>1</v>
      </c>
      <c r="B19" s="23">
        <v>30</v>
      </c>
      <c r="C19" s="23" t="s">
        <v>40</v>
      </c>
      <c r="D19" s="23">
        <v>60</v>
      </c>
      <c r="E19" s="23">
        <v>1</v>
      </c>
      <c r="F19" s="23">
        <v>1</v>
      </c>
      <c r="G19" s="23">
        <v>42.5</v>
      </c>
      <c r="H19" s="23">
        <f>$B$3-G19</f>
        <v>207.5</v>
      </c>
      <c r="I19" s="23">
        <f t="shared" si="5"/>
        <v>29.022430051987993</v>
      </c>
      <c r="J19" s="23">
        <v>43</v>
      </c>
      <c r="K19" s="23">
        <f>$B$3-J19</f>
        <v>207</v>
      </c>
      <c r="L19" s="23">
        <f t="shared" si="6"/>
        <v>29.363870405540787</v>
      </c>
      <c r="M19" s="23">
        <f t="shared" si="7"/>
        <v>29.193150228764388</v>
      </c>
      <c r="N19" s="23">
        <f t="shared" si="8"/>
        <v>0.24143478936791332</v>
      </c>
      <c r="O19" s="23">
        <f t="shared" si="9"/>
        <v>0.97310500762547958</v>
      </c>
      <c r="P19" s="23"/>
      <c r="Q19" s="23"/>
    </row>
    <row r="20" spans="1:17" x14ac:dyDescent="0.2">
      <c r="A20" s="22" t="s">
        <v>1</v>
      </c>
      <c r="B20" s="23">
        <v>30</v>
      </c>
      <c r="C20" s="23" t="s">
        <v>40</v>
      </c>
      <c r="D20" s="23">
        <v>120</v>
      </c>
      <c r="E20" s="23">
        <v>2</v>
      </c>
      <c r="F20" s="23">
        <v>1</v>
      </c>
      <c r="G20" s="23">
        <v>38.4</v>
      </c>
      <c r="H20" s="23">
        <f>H19-G20</f>
        <v>169.1</v>
      </c>
      <c r="I20" s="23">
        <f t="shared" si="5"/>
        <v>26.222619152855028</v>
      </c>
      <c r="J20" s="23">
        <v>39.5</v>
      </c>
      <c r="K20" s="23">
        <f>K19-J20</f>
        <v>167.5</v>
      </c>
      <c r="L20" s="23">
        <f t="shared" si="6"/>
        <v>26.97378793067119</v>
      </c>
      <c r="M20" s="23">
        <f t="shared" si="7"/>
        <v>26.598203541763109</v>
      </c>
      <c r="N20" s="23">
        <f t="shared" si="8"/>
        <v>0.53115653660941886</v>
      </c>
      <c r="O20" s="23">
        <f t="shared" si="9"/>
        <v>0.88660678472543697</v>
      </c>
      <c r="P20" s="23"/>
      <c r="Q20" s="23"/>
    </row>
    <row r="21" spans="1:17" x14ac:dyDescent="0.2">
      <c r="A21" s="22" t="s">
        <v>1</v>
      </c>
      <c r="B21" s="23">
        <v>30</v>
      </c>
      <c r="C21" s="23" t="s">
        <v>40</v>
      </c>
      <c r="D21" s="23">
        <v>180</v>
      </c>
      <c r="E21" s="23">
        <v>3</v>
      </c>
      <c r="F21" s="23">
        <v>1</v>
      </c>
      <c r="G21" s="23">
        <v>36.5</v>
      </c>
      <c r="H21" s="23">
        <f>H20-G21</f>
        <v>132.6</v>
      </c>
      <c r="I21" s="23">
        <f t="shared" si="5"/>
        <v>24.92514580935439</v>
      </c>
      <c r="J21" s="23">
        <v>37</v>
      </c>
      <c r="K21" s="23">
        <f>K20-J21</f>
        <v>130.5</v>
      </c>
      <c r="L21" s="23">
        <f t="shared" si="6"/>
        <v>25.266586162907188</v>
      </c>
      <c r="M21" s="23">
        <f t="shared" si="7"/>
        <v>25.095865986130789</v>
      </c>
      <c r="N21" s="23">
        <f t="shared" si="8"/>
        <v>0.24143478936791585</v>
      </c>
      <c r="O21" s="23">
        <f t="shared" si="9"/>
        <v>0.83652886620435962</v>
      </c>
      <c r="P21" s="23"/>
      <c r="Q21" s="23"/>
    </row>
    <row r="22" spans="1:17" x14ac:dyDescent="0.2">
      <c r="A22" s="22" t="s">
        <v>1</v>
      </c>
      <c r="B22" s="23">
        <v>30</v>
      </c>
      <c r="C22" s="23" t="s">
        <v>40</v>
      </c>
      <c r="D22" s="23">
        <v>240</v>
      </c>
      <c r="E22" s="23">
        <v>4</v>
      </c>
      <c r="F22" s="23">
        <v>1</v>
      </c>
      <c r="G22" s="23">
        <v>32.4</v>
      </c>
      <c r="H22" s="23">
        <f>H21-G22</f>
        <v>100.19999999999999</v>
      </c>
      <c r="I22" s="23">
        <f t="shared" si="5"/>
        <v>22.125334910221429</v>
      </c>
      <c r="J22" s="23">
        <v>32.9</v>
      </c>
      <c r="K22" s="23">
        <f>K21-J22</f>
        <v>97.6</v>
      </c>
      <c r="L22" s="23">
        <f t="shared" si="6"/>
        <v>22.466775263774231</v>
      </c>
      <c r="M22" s="23">
        <f t="shared" si="7"/>
        <v>22.296055086997832</v>
      </c>
      <c r="N22" s="23">
        <f t="shared" si="8"/>
        <v>0.24143478936791835</v>
      </c>
      <c r="O22" s="23">
        <f t="shared" si="9"/>
        <v>0.74320183623326108</v>
      </c>
      <c r="P22" s="23"/>
      <c r="Q22" s="23"/>
    </row>
    <row r="23" spans="1:17" x14ac:dyDescent="0.2">
      <c r="A23" s="22" t="s">
        <v>1</v>
      </c>
      <c r="B23" s="23">
        <v>30</v>
      </c>
      <c r="C23" s="23" t="s">
        <v>40</v>
      </c>
      <c r="D23" s="23">
        <v>300</v>
      </c>
      <c r="E23" s="23">
        <v>5</v>
      </c>
      <c r="F23" s="23">
        <v>1</v>
      </c>
      <c r="G23" s="23">
        <v>30.2</v>
      </c>
      <c r="H23" s="23">
        <f>H22-G23</f>
        <v>69.999999999999986</v>
      </c>
      <c r="I23" s="23">
        <f t="shared" si="5"/>
        <v>20.62299735458911</v>
      </c>
      <c r="J23" s="23">
        <v>30.7</v>
      </c>
      <c r="K23" s="23">
        <f>K22-J23</f>
        <v>66.899999999999991</v>
      </c>
      <c r="L23" s="23">
        <f t="shared" si="6"/>
        <v>20.964437708141912</v>
      </c>
      <c r="M23" s="23">
        <f t="shared" si="7"/>
        <v>20.793717531365509</v>
      </c>
      <c r="N23" s="23">
        <f t="shared" si="8"/>
        <v>0.24143478936791835</v>
      </c>
      <c r="O23" s="23">
        <f t="shared" si="9"/>
        <v>0.69312391771218362</v>
      </c>
      <c r="P23" s="23"/>
      <c r="Q23" s="23"/>
    </row>
    <row r="24" spans="1:17" x14ac:dyDescent="0.2">
      <c r="A24" s="24" t="s">
        <v>1</v>
      </c>
      <c r="B24" s="25">
        <v>0</v>
      </c>
      <c r="C24" s="25" t="s">
        <v>45</v>
      </c>
      <c r="D24" s="25">
        <v>60</v>
      </c>
      <c r="E24" s="25">
        <v>1</v>
      </c>
      <c r="F24" s="25">
        <v>1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</row>
    <row r="25" spans="1:17" x14ac:dyDescent="0.2">
      <c r="A25" s="26" t="s">
        <v>1</v>
      </c>
      <c r="B25" s="27">
        <v>30</v>
      </c>
      <c r="C25" s="27" t="s">
        <v>46</v>
      </c>
      <c r="D25" s="27">
        <v>60</v>
      </c>
      <c r="E25" s="27">
        <v>1</v>
      </c>
      <c r="F25" s="27">
        <v>1</v>
      </c>
      <c r="G25" s="27">
        <v>42.6</v>
      </c>
      <c r="H25" s="27">
        <f>$B$3-G25</f>
        <v>207.4</v>
      </c>
      <c r="I25" s="27">
        <f t="shared" ref="I25:I32" si="10">(G25/1000)/($B$2*F25)</f>
        <v>29.090718122698547</v>
      </c>
      <c r="J25" s="27">
        <v>43.2</v>
      </c>
      <c r="K25" s="27">
        <f>$B$3-J25</f>
        <v>206.8</v>
      </c>
      <c r="L25" s="27">
        <f t="shared" ref="L25:L32" si="11">(J25/1000)/($B$2*F25)</f>
        <v>29.500446546961911</v>
      </c>
      <c r="M25" s="27">
        <f t="shared" ref="M25:M32" si="12">AVERAGE(I25,L25)</f>
        <v>29.295582334830229</v>
      </c>
      <c r="N25" s="27">
        <f t="shared" ref="N25:N32" si="13">STDEV(I25,L25)</f>
        <v>0.28972174724150301</v>
      </c>
      <c r="O25" s="27">
        <f t="shared" ref="O25:O32" si="14">M25/B25</f>
        <v>0.9765194111610076</v>
      </c>
      <c r="P25" s="27"/>
      <c r="Q25" s="27"/>
    </row>
    <row r="26" spans="1:17" x14ac:dyDescent="0.2">
      <c r="A26" s="26" t="s">
        <v>1</v>
      </c>
      <c r="B26" s="27">
        <v>30</v>
      </c>
      <c r="C26" s="27" t="s">
        <v>46</v>
      </c>
      <c r="D26" s="27">
        <v>120</v>
      </c>
      <c r="E26" s="27">
        <v>2</v>
      </c>
      <c r="F26" s="27">
        <v>1</v>
      </c>
      <c r="G26" s="27">
        <v>41.4</v>
      </c>
      <c r="H26" s="27">
        <f>H25-G26</f>
        <v>166</v>
      </c>
      <c r="I26" s="27">
        <f t="shared" si="10"/>
        <v>28.271261274171831</v>
      </c>
      <c r="J26" s="27">
        <v>42.4</v>
      </c>
      <c r="K26" s="27">
        <f>K25-J26</f>
        <v>164.4</v>
      </c>
      <c r="L26" s="27">
        <f t="shared" si="11"/>
        <v>28.954141981277431</v>
      </c>
      <c r="M26" s="27">
        <f t="shared" si="12"/>
        <v>28.612701627724633</v>
      </c>
      <c r="N26" s="27">
        <f t="shared" si="13"/>
        <v>0.48286957873583419</v>
      </c>
      <c r="O26" s="27">
        <f t="shared" si="14"/>
        <v>0.95375672092415442</v>
      </c>
      <c r="P26" s="27">
        <f>AVERAGE(I26/I18*100,L26/L18*100)</f>
        <v>88.022350511095823</v>
      </c>
      <c r="Q26" s="27">
        <f>STDEV(I26/I18*100,L26/L18*100)</f>
        <v>0.96248314583413552</v>
      </c>
    </row>
    <row r="27" spans="1:17" x14ac:dyDescent="0.2">
      <c r="A27" s="20" t="s">
        <v>0</v>
      </c>
      <c r="B27" s="21">
        <v>30</v>
      </c>
      <c r="C27" s="21" t="s">
        <v>39</v>
      </c>
      <c r="D27" s="21">
        <v>300</v>
      </c>
      <c r="E27" s="21">
        <v>5</v>
      </c>
      <c r="F27" s="21">
        <v>1</v>
      </c>
      <c r="G27" s="21">
        <v>47.9</v>
      </c>
      <c r="H27" s="21"/>
      <c r="I27" s="21">
        <f t="shared" si="10"/>
        <v>32.709985870358224</v>
      </c>
      <c r="J27" s="21">
        <v>48.5</v>
      </c>
      <c r="K27" s="21"/>
      <c r="L27" s="21">
        <f t="shared" si="11"/>
        <v>33.119714294621588</v>
      </c>
      <c r="M27" s="21">
        <f t="shared" si="12"/>
        <v>32.914850082489906</v>
      </c>
      <c r="N27" s="21">
        <f t="shared" si="13"/>
        <v>0.28972174724150301</v>
      </c>
      <c r="O27" s="21">
        <f t="shared" si="14"/>
        <v>1.0971616694163302</v>
      </c>
      <c r="P27" s="21"/>
      <c r="Q27" s="21"/>
    </row>
    <row r="28" spans="1:17" x14ac:dyDescent="0.2">
      <c r="A28" s="22" t="s">
        <v>0</v>
      </c>
      <c r="B28" s="23">
        <v>30</v>
      </c>
      <c r="C28" s="23" t="s">
        <v>40</v>
      </c>
      <c r="D28" s="23">
        <v>60</v>
      </c>
      <c r="E28" s="23">
        <v>1</v>
      </c>
      <c r="F28" s="23">
        <v>1</v>
      </c>
      <c r="G28" s="23">
        <v>43.1</v>
      </c>
      <c r="H28" s="23">
        <f>$B$3-G28</f>
        <v>206.9</v>
      </c>
      <c r="I28" s="23">
        <f t="shared" si="10"/>
        <v>29.432158476251349</v>
      </c>
      <c r="J28" s="23">
        <v>43.6</v>
      </c>
      <c r="K28" s="23">
        <f>$B$3-J28</f>
        <v>206.4</v>
      </c>
      <c r="L28" s="23">
        <f t="shared" si="11"/>
        <v>29.773598829804151</v>
      </c>
      <c r="M28" s="23">
        <f t="shared" si="12"/>
        <v>29.602878653027751</v>
      </c>
      <c r="N28" s="23">
        <f t="shared" si="13"/>
        <v>0.24143478936791835</v>
      </c>
      <c r="O28" s="23">
        <f t="shared" si="14"/>
        <v>0.98676262176759166</v>
      </c>
      <c r="P28" s="23"/>
      <c r="Q28" s="23"/>
    </row>
    <row r="29" spans="1:17" x14ac:dyDescent="0.2">
      <c r="A29" s="22" t="s">
        <v>0</v>
      </c>
      <c r="B29" s="23">
        <v>30</v>
      </c>
      <c r="C29" s="23" t="s">
        <v>40</v>
      </c>
      <c r="D29" s="23">
        <v>120</v>
      </c>
      <c r="E29" s="23">
        <v>2</v>
      </c>
      <c r="F29" s="23">
        <v>1</v>
      </c>
      <c r="G29" s="23">
        <v>40.9</v>
      </c>
      <c r="H29" s="23">
        <f>H28-G29</f>
        <v>166</v>
      </c>
      <c r="I29" s="23">
        <f t="shared" si="10"/>
        <v>27.929820920619029</v>
      </c>
      <c r="J29" s="23">
        <v>41.4</v>
      </c>
      <c r="K29" s="23">
        <f>K28-J29</f>
        <v>165</v>
      </c>
      <c r="L29" s="23">
        <f t="shared" si="11"/>
        <v>28.271261274171831</v>
      </c>
      <c r="M29" s="23">
        <f t="shared" si="12"/>
        <v>28.100541097395428</v>
      </c>
      <c r="N29" s="23">
        <f t="shared" si="13"/>
        <v>0.24143478936791835</v>
      </c>
      <c r="O29" s="23">
        <f t="shared" si="14"/>
        <v>0.93668470324651432</v>
      </c>
      <c r="P29" s="23"/>
      <c r="Q29" s="23"/>
    </row>
    <row r="30" spans="1:17" x14ac:dyDescent="0.2">
      <c r="A30" s="22" t="s">
        <v>0</v>
      </c>
      <c r="B30" s="23">
        <v>30</v>
      </c>
      <c r="C30" s="23" t="s">
        <v>40</v>
      </c>
      <c r="D30" s="23">
        <v>180</v>
      </c>
      <c r="E30" s="23">
        <v>3</v>
      </c>
      <c r="F30" s="23">
        <v>1</v>
      </c>
      <c r="G30" s="23">
        <v>37</v>
      </c>
      <c r="H30" s="23">
        <f>H29-G30</f>
        <v>129</v>
      </c>
      <c r="I30" s="23">
        <f t="shared" si="10"/>
        <v>25.266586162907188</v>
      </c>
      <c r="J30" s="23">
        <v>38</v>
      </c>
      <c r="K30" s="23">
        <f>K29-J30</f>
        <v>127</v>
      </c>
      <c r="L30" s="23">
        <f t="shared" si="11"/>
        <v>25.949466870012792</v>
      </c>
      <c r="M30" s="23">
        <f t="shared" si="12"/>
        <v>25.60802651645999</v>
      </c>
      <c r="N30" s="23">
        <f t="shared" si="13"/>
        <v>0.48286957873583669</v>
      </c>
      <c r="O30" s="23">
        <f t="shared" si="14"/>
        <v>0.85360088388199962</v>
      </c>
      <c r="P30" s="23"/>
      <c r="Q30" s="23"/>
    </row>
    <row r="31" spans="1:17" x14ac:dyDescent="0.2">
      <c r="A31" s="22" t="s">
        <v>0</v>
      </c>
      <c r="B31" s="23">
        <v>30</v>
      </c>
      <c r="C31" s="23" t="s">
        <v>40</v>
      </c>
      <c r="D31" s="23">
        <v>240</v>
      </c>
      <c r="E31" s="23">
        <v>4</v>
      </c>
      <c r="F31" s="23">
        <v>1</v>
      </c>
      <c r="G31" s="23">
        <v>35.9</v>
      </c>
      <c r="H31" s="23">
        <f>H30-G31</f>
        <v>93.1</v>
      </c>
      <c r="I31" s="23">
        <f t="shared" si="10"/>
        <v>24.51541738509103</v>
      </c>
      <c r="J31" s="23">
        <v>36.4</v>
      </c>
      <c r="K31" s="23">
        <f>K30-J31</f>
        <v>90.6</v>
      </c>
      <c r="L31" s="23">
        <f t="shared" si="11"/>
        <v>24.856857738643832</v>
      </c>
      <c r="M31" s="23">
        <f t="shared" si="12"/>
        <v>24.686137561867433</v>
      </c>
      <c r="N31" s="23">
        <f t="shared" si="13"/>
        <v>0.24143478936791835</v>
      </c>
      <c r="O31" s="23">
        <f t="shared" si="14"/>
        <v>0.82287125206224776</v>
      </c>
      <c r="P31" s="23"/>
      <c r="Q31" s="23"/>
    </row>
    <row r="32" spans="1:17" x14ac:dyDescent="0.2">
      <c r="A32" s="22" t="s">
        <v>0</v>
      </c>
      <c r="B32" s="23">
        <v>30</v>
      </c>
      <c r="C32" s="23" t="s">
        <v>40</v>
      </c>
      <c r="D32" s="23">
        <v>300</v>
      </c>
      <c r="E32" s="23">
        <v>5</v>
      </c>
      <c r="F32" s="23">
        <v>1</v>
      </c>
      <c r="G32" s="23">
        <v>34.200000000000003</v>
      </c>
      <c r="H32" s="23">
        <f>H31-G32</f>
        <v>58.899999999999991</v>
      </c>
      <c r="I32" s="23">
        <f t="shared" si="10"/>
        <v>23.354520183011513</v>
      </c>
      <c r="J32" s="23">
        <v>34.6</v>
      </c>
      <c r="K32" s="23">
        <f>K31-J32</f>
        <v>55.999999999999993</v>
      </c>
      <c r="L32" s="23">
        <f t="shared" si="11"/>
        <v>23.627672465853749</v>
      </c>
      <c r="M32" s="23">
        <f t="shared" si="12"/>
        <v>23.491096324432633</v>
      </c>
      <c r="N32" s="23">
        <f t="shared" si="13"/>
        <v>0.19314783149433118</v>
      </c>
      <c r="O32" s="23">
        <f t="shared" si="14"/>
        <v>0.78303654414775437</v>
      </c>
      <c r="P32" s="23"/>
      <c r="Q32" s="23"/>
    </row>
    <row r="33" spans="1:17" x14ac:dyDescent="0.2">
      <c r="A33" s="24" t="s">
        <v>0</v>
      </c>
      <c r="B33" s="25">
        <v>0</v>
      </c>
      <c r="C33" s="25" t="s">
        <v>45</v>
      </c>
      <c r="D33" s="25">
        <v>60</v>
      </c>
      <c r="E33" s="25">
        <v>1</v>
      </c>
      <c r="F33" s="25">
        <v>1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</row>
    <row r="34" spans="1:17" x14ac:dyDescent="0.2">
      <c r="A34" s="26" t="s">
        <v>0</v>
      </c>
      <c r="B34" s="27">
        <v>30</v>
      </c>
      <c r="C34" s="27" t="s">
        <v>46</v>
      </c>
      <c r="D34" s="27">
        <v>60</v>
      </c>
      <c r="E34" s="27">
        <v>1</v>
      </c>
      <c r="F34" s="27">
        <v>1</v>
      </c>
      <c r="G34" s="27">
        <v>45.1</v>
      </c>
      <c r="H34" s="27">
        <f>$B$3-G34</f>
        <v>204.9</v>
      </c>
      <c r="I34" s="27">
        <f>(G34/1000)/($B$2*F34)</f>
        <v>30.797919890462548</v>
      </c>
      <c r="J34" s="27">
        <v>45.7</v>
      </c>
      <c r="K34" s="27">
        <f>$B$3-J34</f>
        <v>204.3</v>
      </c>
      <c r="L34" s="27">
        <f>(J34/1000)/($B$2*F34)</f>
        <v>31.207648314725912</v>
      </c>
      <c r="M34" s="27">
        <f>AVERAGE(I34,L34)</f>
        <v>31.00278410259423</v>
      </c>
      <c r="N34" s="27">
        <f>STDEV(I34,L34)</f>
        <v>0.28972174724150301</v>
      </c>
      <c r="O34" s="27">
        <f>M34/B34</f>
        <v>1.033426136753141</v>
      </c>
      <c r="P34" s="27"/>
      <c r="Q34" s="27"/>
    </row>
    <row r="35" spans="1:17" x14ac:dyDescent="0.2">
      <c r="A35" s="26" t="s">
        <v>0</v>
      </c>
      <c r="B35" s="27">
        <v>30</v>
      </c>
      <c r="C35" s="27" t="s">
        <v>46</v>
      </c>
      <c r="D35" s="27">
        <v>120</v>
      </c>
      <c r="E35" s="27">
        <v>2</v>
      </c>
      <c r="F35" s="27">
        <v>1</v>
      </c>
      <c r="G35" s="27">
        <v>44.4</v>
      </c>
      <c r="H35" s="27">
        <f>H34-G35</f>
        <v>160.5</v>
      </c>
      <c r="I35" s="27">
        <f>(G35/1000)/($B$2*F35)</f>
        <v>30.31990339548863</v>
      </c>
      <c r="J35" s="27">
        <v>44.3</v>
      </c>
      <c r="K35" s="27">
        <f>K34-J35</f>
        <v>160</v>
      </c>
      <c r="L35" s="27">
        <f>(J35/1000)/($B$2*F35)</f>
        <v>30.251615324778069</v>
      </c>
      <c r="M35" s="27">
        <f>AVERAGE(I35,L35)</f>
        <v>30.285759360133348</v>
      </c>
      <c r="N35" s="27">
        <f>STDEV(I35,L35)</f>
        <v>4.8286957873584675E-2</v>
      </c>
      <c r="O35" s="27">
        <f>M35/B35</f>
        <v>1.009525312004445</v>
      </c>
      <c r="P35" s="27">
        <f>AVERAGE(I35/I27*100,L35/L27*100)</f>
        <v>92.016658416374327</v>
      </c>
      <c r="Q35" s="27">
        <f>STDEV(I35/I27*100,L35/L27*100)</f>
        <v>0.95664791910523861</v>
      </c>
    </row>
    <row r="37" spans="1:17" x14ac:dyDescent="0.2">
      <c r="A37" s="37" t="s">
        <v>41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</row>
    <row r="38" spans="1:17" ht="34" x14ac:dyDescent="0.2">
      <c r="A38" s="10" t="s">
        <v>19</v>
      </c>
      <c r="B38" s="10" t="s">
        <v>26</v>
      </c>
      <c r="C38" s="10" t="s">
        <v>27</v>
      </c>
      <c r="D38" s="10" t="s">
        <v>28</v>
      </c>
      <c r="E38" s="10" t="s">
        <v>4</v>
      </c>
      <c r="F38" s="10" t="s">
        <v>29</v>
      </c>
      <c r="G38" s="10" t="s">
        <v>30</v>
      </c>
      <c r="H38" s="10" t="s">
        <v>31</v>
      </c>
      <c r="I38" s="10" t="s">
        <v>32</v>
      </c>
      <c r="J38" s="10" t="s">
        <v>33</v>
      </c>
      <c r="K38" s="10" t="s">
        <v>34</v>
      </c>
      <c r="L38" s="10" t="s">
        <v>35</v>
      </c>
      <c r="M38" s="10" t="s">
        <v>36</v>
      </c>
      <c r="N38" s="10" t="s">
        <v>37</v>
      </c>
      <c r="O38" s="10" t="s">
        <v>38</v>
      </c>
      <c r="P38" s="10" t="s">
        <v>43</v>
      </c>
      <c r="Q38" s="10" t="s">
        <v>44</v>
      </c>
    </row>
    <row r="39" spans="1:17" x14ac:dyDescent="0.2">
      <c r="A39" s="20" t="s">
        <v>5</v>
      </c>
      <c r="B39" s="21">
        <v>12</v>
      </c>
      <c r="C39" s="21" t="s">
        <v>39</v>
      </c>
      <c r="D39" s="21">
        <v>300</v>
      </c>
      <c r="E39" s="21">
        <v>5</v>
      </c>
      <c r="F39" s="21">
        <v>1</v>
      </c>
      <c r="G39" s="21">
        <v>47.3</v>
      </c>
      <c r="H39" s="21"/>
      <c r="I39" s="21">
        <f t="shared" ref="I39:I44" si="15">(G39/1000)/($B$2*F39)</f>
        <v>32.300257446094868</v>
      </c>
      <c r="J39" s="21">
        <v>47.9</v>
      </c>
      <c r="K39" s="21"/>
      <c r="L39" s="21">
        <f t="shared" ref="L39:L44" si="16">(J39/1000)/($B$2*F39)</f>
        <v>32.709985870358224</v>
      </c>
      <c r="M39" s="21">
        <f t="shared" ref="M39:M44" si="17">AVERAGE(I39,L39)</f>
        <v>32.505121658226543</v>
      </c>
      <c r="N39" s="21">
        <f t="shared" ref="N39:N44" si="18">STDEV(I39,L39)</f>
        <v>0.28972174724149802</v>
      </c>
      <c r="O39" s="21">
        <f t="shared" ref="O39:O44" si="19">M39/B39</f>
        <v>2.7087601381855451</v>
      </c>
      <c r="P39" s="21"/>
      <c r="Q39" s="21"/>
    </row>
    <row r="40" spans="1:17" x14ac:dyDescent="0.2">
      <c r="A40" s="22" t="s">
        <v>5</v>
      </c>
      <c r="B40" s="23">
        <v>12</v>
      </c>
      <c r="C40" s="23" t="s">
        <v>42</v>
      </c>
      <c r="D40" s="23">
        <v>60</v>
      </c>
      <c r="E40" s="23">
        <v>1</v>
      </c>
      <c r="F40" s="23">
        <v>1</v>
      </c>
      <c r="G40" s="23">
        <v>42.1</v>
      </c>
      <c r="H40" s="23">
        <f>$B$3-G40</f>
        <v>207.9</v>
      </c>
      <c r="I40" s="23">
        <f t="shared" si="15"/>
        <v>28.749277769145749</v>
      </c>
      <c r="J40" s="23">
        <v>42.5</v>
      </c>
      <c r="K40" s="23">
        <f>$B$3-J40</f>
        <v>207.5</v>
      </c>
      <c r="L40" s="23">
        <f t="shared" si="16"/>
        <v>29.022430051987993</v>
      </c>
      <c r="M40" s="23">
        <f t="shared" si="17"/>
        <v>28.885853910566873</v>
      </c>
      <c r="N40" s="23">
        <f t="shared" si="18"/>
        <v>0.19314783149433618</v>
      </c>
      <c r="O40" s="23">
        <f t="shared" si="19"/>
        <v>2.4071544925472392</v>
      </c>
      <c r="P40" s="23"/>
      <c r="Q40" s="23"/>
    </row>
    <row r="41" spans="1:17" x14ac:dyDescent="0.2">
      <c r="A41" s="22" t="s">
        <v>5</v>
      </c>
      <c r="B41" s="23">
        <v>12</v>
      </c>
      <c r="C41" s="23" t="s">
        <v>42</v>
      </c>
      <c r="D41" s="23">
        <v>120</v>
      </c>
      <c r="E41" s="23">
        <v>2</v>
      </c>
      <c r="F41" s="23">
        <v>1</v>
      </c>
      <c r="G41" s="23">
        <v>33.700000000000003</v>
      </c>
      <c r="H41" s="23">
        <f>H40-G41</f>
        <v>174.2</v>
      </c>
      <c r="I41" s="23">
        <f t="shared" si="15"/>
        <v>23.013079829458711</v>
      </c>
      <c r="J41" s="23">
        <v>35.1</v>
      </c>
      <c r="K41" s="23">
        <f>K40-J41</f>
        <v>172.4</v>
      </c>
      <c r="L41" s="23">
        <f t="shared" si="16"/>
        <v>23.969112819406551</v>
      </c>
      <c r="M41" s="23">
        <f t="shared" si="17"/>
        <v>23.491096324432633</v>
      </c>
      <c r="N41" s="23">
        <f t="shared" si="18"/>
        <v>0.67601741023016781</v>
      </c>
      <c r="O41" s="23">
        <f t="shared" si="19"/>
        <v>1.957591360369386</v>
      </c>
      <c r="P41" s="23"/>
      <c r="Q41" s="23"/>
    </row>
    <row r="42" spans="1:17" x14ac:dyDescent="0.2">
      <c r="A42" s="22" t="s">
        <v>5</v>
      </c>
      <c r="B42" s="23">
        <v>12</v>
      </c>
      <c r="C42" s="23" t="s">
        <v>42</v>
      </c>
      <c r="D42" s="23">
        <v>180</v>
      </c>
      <c r="E42" s="23">
        <v>3</v>
      </c>
      <c r="F42" s="23">
        <v>1</v>
      </c>
      <c r="G42" s="23">
        <v>30.1</v>
      </c>
      <c r="H42" s="23">
        <f>H41-G42</f>
        <v>144.1</v>
      </c>
      <c r="I42" s="23">
        <f t="shared" si="15"/>
        <v>20.554709283878555</v>
      </c>
      <c r="J42" s="23">
        <v>31.1</v>
      </c>
      <c r="K42" s="23">
        <f>K41-J42</f>
        <v>141.30000000000001</v>
      </c>
      <c r="L42" s="23">
        <f t="shared" si="16"/>
        <v>21.237589990984155</v>
      </c>
      <c r="M42" s="23">
        <f t="shared" si="17"/>
        <v>20.896149637431357</v>
      </c>
      <c r="N42" s="23">
        <f t="shared" si="18"/>
        <v>0.48286957873583419</v>
      </c>
      <c r="O42" s="23">
        <f t="shared" si="19"/>
        <v>1.7413458031192797</v>
      </c>
      <c r="P42" s="23"/>
      <c r="Q42" s="23"/>
    </row>
    <row r="43" spans="1:17" x14ac:dyDescent="0.2">
      <c r="A43" s="22" t="s">
        <v>5</v>
      </c>
      <c r="B43" s="23">
        <v>12</v>
      </c>
      <c r="C43" s="23" t="s">
        <v>42</v>
      </c>
      <c r="D43" s="23">
        <v>240</v>
      </c>
      <c r="E43" s="23">
        <v>4</v>
      </c>
      <c r="F43" s="23">
        <v>1</v>
      </c>
      <c r="G43" s="23">
        <v>22.7</v>
      </c>
      <c r="H43" s="23">
        <f>H42-G43</f>
        <v>121.39999999999999</v>
      </c>
      <c r="I43" s="23">
        <f t="shared" si="15"/>
        <v>15.501392051297113</v>
      </c>
      <c r="J43" s="23">
        <v>24.2</v>
      </c>
      <c r="K43" s="23">
        <f>K42-J43</f>
        <v>117.10000000000001</v>
      </c>
      <c r="L43" s="23">
        <f t="shared" si="16"/>
        <v>16.525713111955515</v>
      </c>
      <c r="M43" s="23">
        <f t="shared" si="17"/>
        <v>16.013552581626314</v>
      </c>
      <c r="N43" s="23">
        <f t="shared" si="18"/>
        <v>0.72430436810375254</v>
      </c>
      <c r="O43" s="23">
        <f t="shared" si="19"/>
        <v>1.3344627151355262</v>
      </c>
      <c r="P43" s="23"/>
      <c r="Q43" s="23"/>
    </row>
    <row r="44" spans="1:17" x14ac:dyDescent="0.2">
      <c r="A44" s="22" t="s">
        <v>5</v>
      </c>
      <c r="B44" s="23">
        <v>12</v>
      </c>
      <c r="C44" s="23" t="s">
        <v>42</v>
      </c>
      <c r="D44" s="23">
        <v>300</v>
      </c>
      <c r="E44" s="23">
        <v>5</v>
      </c>
      <c r="F44" s="23">
        <v>1</v>
      </c>
      <c r="G44" s="23">
        <v>20.100000000000001</v>
      </c>
      <c r="H44" s="23">
        <f>H43-G44</f>
        <v>101.29999999999998</v>
      </c>
      <c r="I44" s="23">
        <f t="shared" si="15"/>
        <v>13.725902212822556</v>
      </c>
      <c r="J44" s="23">
        <v>21.2</v>
      </c>
      <c r="K44" s="23">
        <f>K43-J44</f>
        <v>95.9</v>
      </c>
      <c r="L44" s="23">
        <f t="shared" si="16"/>
        <v>14.477070990638715</v>
      </c>
      <c r="M44" s="23">
        <f t="shared" si="17"/>
        <v>14.101486601730635</v>
      </c>
      <c r="N44" s="23">
        <f t="shared" si="18"/>
        <v>0.53115653660941764</v>
      </c>
      <c r="O44" s="23">
        <f t="shared" si="19"/>
        <v>1.1751238834775528</v>
      </c>
      <c r="P44" s="23"/>
      <c r="Q44" s="23"/>
    </row>
    <row r="45" spans="1:17" x14ac:dyDescent="0.2">
      <c r="A45" s="24" t="s">
        <v>5</v>
      </c>
      <c r="B45" s="25">
        <v>0</v>
      </c>
      <c r="C45" s="25" t="s">
        <v>45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</row>
    <row r="46" spans="1:17" x14ac:dyDescent="0.2">
      <c r="A46" s="26" t="s">
        <v>5</v>
      </c>
      <c r="B46" s="27">
        <v>12</v>
      </c>
      <c r="C46" s="27" t="s">
        <v>46</v>
      </c>
      <c r="D46" s="27">
        <v>60</v>
      </c>
      <c r="E46" s="27">
        <v>1</v>
      </c>
      <c r="F46" s="27">
        <v>1</v>
      </c>
      <c r="G46" s="27">
        <v>25.5</v>
      </c>
      <c r="H46" s="27">
        <f>$B$3-G46</f>
        <v>224.5</v>
      </c>
      <c r="I46" s="27">
        <f t="shared" ref="I46:I53" si="20">(G46/1000)/($B$2*F46)</f>
        <v>17.413458031192793</v>
      </c>
      <c r="J46" s="27">
        <v>26.1</v>
      </c>
      <c r="K46" s="27">
        <f>$B$3-J46</f>
        <v>223.9</v>
      </c>
      <c r="L46" s="27">
        <f t="shared" ref="L46:L53" si="21">(J46/1000)/($B$2*F46)</f>
        <v>17.823186455456156</v>
      </c>
      <c r="M46" s="27">
        <f t="shared" ref="M46:M53" si="22">AVERAGE(I46,L46)</f>
        <v>17.618322243324474</v>
      </c>
      <c r="N46" s="27">
        <f t="shared" ref="N46:N53" si="23">STDEV(I46,L46)</f>
        <v>0.28972174724150301</v>
      </c>
      <c r="O46" s="27">
        <f t="shared" ref="O46:O53" si="24">M46/B46</f>
        <v>1.4681935202770395</v>
      </c>
      <c r="P46" s="27"/>
      <c r="Q46" s="27"/>
    </row>
    <row r="47" spans="1:17" x14ac:dyDescent="0.2">
      <c r="A47" s="26" t="s">
        <v>5</v>
      </c>
      <c r="B47" s="27">
        <v>12</v>
      </c>
      <c r="C47" s="27" t="s">
        <v>46</v>
      </c>
      <c r="D47" s="27">
        <v>120</v>
      </c>
      <c r="E47" s="27">
        <v>2</v>
      </c>
      <c r="F47" s="27">
        <v>1</v>
      </c>
      <c r="G47" s="27">
        <v>24.9</v>
      </c>
      <c r="H47" s="27">
        <f>H46-G47</f>
        <v>199.6</v>
      </c>
      <c r="I47" s="27">
        <f t="shared" si="20"/>
        <v>17.003729606929433</v>
      </c>
      <c r="J47" s="27">
        <v>24.6</v>
      </c>
      <c r="K47" s="27">
        <f>K46-J47</f>
        <v>199.3</v>
      </c>
      <c r="L47" s="27">
        <f t="shared" si="21"/>
        <v>16.798865394797755</v>
      </c>
      <c r="M47" s="27">
        <f t="shared" si="22"/>
        <v>16.901297500863592</v>
      </c>
      <c r="N47" s="27">
        <f t="shared" si="23"/>
        <v>0.14486087362074901</v>
      </c>
      <c r="O47" s="27">
        <f t="shared" si="24"/>
        <v>1.4084414584052993</v>
      </c>
      <c r="P47" s="27">
        <f>AVERAGE(I47/I39*100,L47/L39*100)</f>
        <v>51.999849934015103</v>
      </c>
      <c r="Q47" s="27">
        <f>STDEV(I47/I39*100,L47/L39*100)</f>
        <v>0.90913595254224733</v>
      </c>
    </row>
    <row r="48" spans="1:17" x14ac:dyDescent="0.2">
      <c r="A48" s="20" t="s">
        <v>1</v>
      </c>
      <c r="B48" s="21">
        <v>30</v>
      </c>
      <c r="C48" s="21" t="s">
        <v>39</v>
      </c>
      <c r="D48" s="21">
        <v>300</v>
      </c>
      <c r="E48" s="21">
        <v>5</v>
      </c>
      <c r="F48" s="21">
        <v>1</v>
      </c>
      <c r="G48" s="21">
        <v>47.8</v>
      </c>
      <c r="H48" s="21"/>
      <c r="I48" s="21">
        <f t="shared" si="20"/>
        <v>32.641697799647666</v>
      </c>
      <c r="J48" s="21">
        <v>48.3</v>
      </c>
      <c r="K48" s="21"/>
      <c r="L48" s="21">
        <f t="shared" si="21"/>
        <v>32.983138153200464</v>
      </c>
      <c r="M48" s="21">
        <f t="shared" si="22"/>
        <v>32.812417976424065</v>
      </c>
      <c r="N48" s="21">
        <f t="shared" si="23"/>
        <v>0.24143478936791585</v>
      </c>
      <c r="O48" s="21">
        <f t="shared" si="24"/>
        <v>1.0937472658808021</v>
      </c>
      <c r="P48" s="21"/>
      <c r="Q48" s="21"/>
    </row>
    <row r="49" spans="1:17" x14ac:dyDescent="0.2">
      <c r="A49" s="22" t="s">
        <v>1</v>
      </c>
      <c r="B49" s="23">
        <v>30</v>
      </c>
      <c r="C49" s="23" t="s">
        <v>42</v>
      </c>
      <c r="D49" s="23">
        <v>60</v>
      </c>
      <c r="E49" s="23">
        <v>1</v>
      </c>
      <c r="F49" s="23">
        <v>1</v>
      </c>
      <c r="G49" s="23">
        <v>42</v>
      </c>
      <c r="H49" s="23">
        <f>$B$3-G49</f>
        <v>208</v>
      </c>
      <c r="I49" s="23">
        <f t="shared" si="20"/>
        <v>28.680989698435191</v>
      </c>
      <c r="J49" s="23">
        <v>42.4</v>
      </c>
      <c r="K49" s="23">
        <f>$B$3-J49</f>
        <v>207.6</v>
      </c>
      <c r="L49" s="23">
        <f t="shared" si="21"/>
        <v>28.954141981277431</v>
      </c>
      <c r="M49" s="23">
        <f t="shared" si="22"/>
        <v>28.817565839856311</v>
      </c>
      <c r="N49" s="23">
        <f t="shared" si="23"/>
        <v>0.19314783149433368</v>
      </c>
      <c r="O49" s="23">
        <f t="shared" si="24"/>
        <v>0.96058552799521035</v>
      </c>
      <c r="P49" s="23"/>
      <c r="Q49" s="23"/>
    </row>
    <row r="50" spans="1:17" x14ac:dyDescent="0.2">
      <c r="A50" s="22" t="s">
        <v>1</v>
      </c>
      <c r="B50" s="23">
        <v>30</v>
      </c>
      <c r="C50" s="23" t="s">
        <v>42</v>
      </c>
      <c r="D50" s="23">
        <v>120</v>
      </c>
      <c r="E50" s="23">
        <v>2</v>
      </c>
      <c r="F50" s="23">
        <v>1</v>
      </c>
      <c r="G50" s="23">
        <v>37.6</v>
      </c>
      <c r="H50" s="23">
        <f>H49-G50</f>
        <v>170.4</v>
      </c>
      <c r="I50" s="23">
        <f t="shared" si="20"/>
        <v>25.676314587170552</v>
      </c>
      <c r="J50" s="23">
        <v>39.1</v>
      </c>
      <c r="K50" s="23">
        <f>K49-J50</f>
        <v>168.5</v>
      </c>
      <c r="L50" s="23">
        <f t="shared" si="21"/>
        <v>26.700635647828953</v>
      </c>
      <c r="M50" s="23">
        <f t="shared" si="22"/>
        <v>26.188475117499753</v>
      </c>
      <c r="N50" s="23">
        <f t="shared" si="23"/>
        <v>0.72430436810375254</v>
      </c>
      <c r="O50" s="23">
        <f t="shared" si="24"/>
        <v>0.87294917058332511</v>
      </c>
      <c r="P50" s="23"/>
      <c r="Q50" s="23"/>
    </row>
    <row r="51" spans="1:17" x14ac:dyDescent="0.2">
      <c r="A51" s="22" t="s">
        <v>1</v>
      </c>
      <c r="B51" s="23">
        <v>30</v>
      </c>
      <c r="C51" s="23" t="s">
        <v>42</v>
      </c>
      <c r="D51" s="23">
        <v>180</v>
      </c>
      <c r="E51" s="23">
        <v>3</v>
      </c>
      <c r="F51" s="23">
        <v>1</v>
      </c>
      <c r="G51" s="23">
        <v>34.6</v>
      </c>
      <c r="H51" s="23">
        <f>H50-G51</f>
        <v>135.80000000000001</v>
      </c>
      <c r="I51" s="23">
        <f t="shared" si="20"/>
        <v>23.627672465853749</v>
      </c>
      <c r="J51" s="23">
        <v>35.1</v>
      </c>
      <c r="K51" s="23">
        <f>K50-J51</f>
        <v>133.4</v>
      </c>
      <c r="L51" s="23">
        <f t="shared" si="21"/>
        <v>23.969112819406551</v>
      </c>
      <c r="M51" s="23">
        <f t="shared" si="22"/>
        <v>23.798392642630148</v>
      </c>
      <c r="N51" s="23">
        <f t="shared" si="23"/>
        <v>0.24143478936791835</v>
      </c>
      <c r="O51" s="23">
        <f t="shared" si="24"/>
        <v>0.79327975475433832</v>
      </c>
      <c r="P51" s="23"/>
      <c r="Q51" s="23"/>
    </row>
    <row r="52" spans="1:17" x14ac:dyDescent="0.2">
      <c r="A52" s="22" t="s">
        <v>1</v>
      </c>
      <c r="B52" s="23">
        <v>30</v>
      </c>
      <c r="C52" s="23" t="s">
        <v>42</v>
      </c>
      <c r="D52" s="23">
        <v>240</v>
      </c>
      <c r="E52" s="23">
        <v>4</v>
      </c>
      <c r="F52" s="23">
        <v>1</v>
      </c>
      <c r="G52" s="23">
        <v>32</v>
      </c>
      <c r="H52" s="23">
        <f>H51-G52</f>
        <v>103.80000000000001</v>
      </c>
      <c r="I52" s="23">
        <f t="shared" si="20"/>
        <v>21.852182627379193</v>
      </c>
      <c r="J52" s="23">
        <v>33</v>
      </c>
      <c r="K52" s="23">
        <f>K51-J52</f>
        <v>100.4</v>
      </c>
      <c r="L52" s="23">
        <f t="shared" si="21"/>
        <v>22.535063334484793</v>
      </c>
      <c r="M52" s="23">
        <f t="shared" si="22"/>
        <v>22.193622980931991</v>
      </c>
      <c r="N52" s="23">
        <f t="shared" si="23"/>
        <v>0.48286957873583419</v>
      </c>
      <c r="O52" s="23">
        <f t="shared" si="24"/>
        <v>0.73978743269773306</v>
      </c>
      <c r="P52" s="23"/>
      <c r="Q52" s="23"/>
    </row>
    <row r="53" spans="1:17" x14ac:dyDescent="0.2">
      <c r="A53" s="22" t="s">
        <v>1</v>
      </c>
      <c r="B53" s="23">
        <v>30</v>
      </c>
      <c r="C53" s="23" t="s">
        <v>42</v>
      </c>
      <c r="D53" s="23">
        <v>300</v>
      </c>
      <c r="E53" s="23">
        <v>5</v>
      </c>
      <c r="F53" s="23">
        <v>1</v>
      </c>
      <c r="G53" s="23">
        <v>30.4</v>
      </c>
      <c r="H53" s="23">
        <f>H52-G53</f>
        <v>73.400000000000006</v>
      </c>
      <c r="I53" s="23">
        <f t="shared" si="20"/>
        <v>20.759573496010233</v>
      </c>
      <c r="J53" s="23">
        <v>30.8</v>
      </c>
      <c r="K53" s="23">
        <f>K52-J53</f>
        <v>69.600000000000009</v>
      </c>
      <c r="L53" s="23">
        <f t="shared" si="21"/>
        <v>21.032725778852473</v>
      </c>
      <c r="M53" s="23">
        <f t="shared" si="22"/>
        <v>20.896149637431353</v>
      </c>
      <c r="N53" s="23">
        <f t="shared" si="23"/>
        <v>0.19314783149433368</v>
      </c>
      <c r="O53" s="23">
        <f t="shared" si="24"/>
        <v>0.69653832124771176</v>
      </c>
      <c r="P53" s="23"/>
      <c r="Q53" s="23"/>
    </row>
    <row r="54" spans="1:17" x14ac:dyDescent="0.2">
      <c r="A54" s="24" t="s">
        <v>1</v>
      </c>
      <c r="B54" s="25">
        <v>0</v>
      </c>
      <c r="C54" s="25" t="s">
        <v>45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</row>
    <row r="55" spans="1:17" x14ac:dyDescent="0.2">
      <c r="A55" s="26" t="s">
        <v>1</v>
      </c>
      <c r="B55" s="27">
        <v>30</v>
      </c>
      <c r="C55" s="27" t="s">
        <v>46</v>
      </c>
      <c r="D55" s="27">
        <v>60</v>
      </c>
      <c r="E55" s="27">
        <v>1</v>
      </c>
      <c r="F55" s="27">
        <v>1</v>
      </c>
      <c r="G55" s="27">
        <v>41.6</v>
      </c>
      <c r="H55" s="27">
        <f>$B$3-G55</f>
        <v>208.4</v>
      </c>
      <c r="I55" s="27">
        <f t="shared" ref="I55:I62" si="25">(G55/1000)/($B$2*F55)</f>
        <v>28.407837415592947</v>
      </c>
      <c r="J55" s="27">
        <v>42.2</v>
      </c>
      <c r="K55" s="27">
        <f>$B$3-J55</f>
        <v>207.8</v>
      </c>
      <c r="L55" s="27">
        <f t="shared" ref="L55:L62" si="26">(J55/1000)/($B$2*F55)</f>
        <v>28.817565839856311</v>
      </c>
      <c r="M55" s="27">
        <f t="shared" ref="M55:M62" si="27">AVERAGE(I55,L55)</f>
        <v>28.612701627724629</v>
      </c>
      <c r="N55" s="27">
        <f t="shared" ref="N55:N62" si="28">STDEV(I55,L55)</f>
        <v>0.28972174724150301</v>
      </c>
      <c r="O55" s="27">
        <f t="shared" ref="O55:O62" si="29">M55/B55</f>
        <v>0.95375672092415431</v>
      </c>
      <c r="P55" s="27"/>
      <c r="Q55" s="27"/>
    </row>
    <row r="56" spans="1:17" x14ac:dyDescent="0.2">
      <c r="A56" s="26" t="s">
        <v>1</v>
      </c>
      <c r="B56" s="27">
        <v>30</v>
      </c>
      <c r="C56" s="27" t="s">
        <v>46</v>
      </c>
      <c r="D56" s="27">
        <v>120</v>
      </c>
      <c r="E56" s="27">
        <v>2</v>
      </c>
      <c r="F56" s="27">
        <v>1</v>
      </c>
      <c r="G56" s="27">
        <v>40.299999999999997</v>
      </c>
      <c r="H56" s="27">
        <f>H55-G56</f>
        <v>168.10000000000002</v>
      </c>
      <c r="I56" s="27">
        <f t="shared" si="25"/>
        <v>27.520092496355666</v>
      </c>
      <c r="J56" s="27">
        <v>41.4</v>
      </c>
      <c r="K56" s="27">
        <f>K55-J56</f>
        <v>166.4</v>
      </c>
      <c r="L56" s="27">
        <f t="shared" si="26"/>
        <v>28.271261274171831</v>
      </c>
      <c r="M56" s="27">
        <f t="shared" si="27"/>
        <v>27.895676885263747</v>
      </c>
      <c r="N56" s="27">
        <f t="shared" si="28"/>
        <v>0.53115653660942141</v>
      </c>
      <c r="O56" s="27">
        <f t="shared" si="29"/>
        <v>0.92985589617545827</v>
      </c>
      <c r="P56" s="27">
        <f>AVERAGE(I56/I48*100,L56/L48*100)</f>
        <v>85.011954572624035</v>
      </c>
      <c r="Q56" s="27">
        <f>STDEV(I56/I48*100,L56/L48*100)</f>
        <v>0.99324622581495836</v>
      </c>
    </row>
    <row r="57" spans="1:17" x14ac:dyDescent="0.2">
      <c r="A57" s="20" t="s">
        <v>0</v>
      </c>
      <c r="B57" s="21">
        <v>30</v>
      </c>
      <c r="C57" s="21" t="s">
        <v>39</v>
      </c>
      <c r="D57" s="21">
        <v>300</v>
      </c>
      <c r="E57" s="21">
        <v>5</v>
      </c>
      <c r="F57" s="21">
        <v>1</v>
      </c>
      <c r="G57" s="21">
        <v>47.4</v>
      </c>
      <c r="H57" s="21"/>
      <c r="I57" s="21">
        <f t="shared" si="25"/>
        <v>32.368545516805426</v>
      </c>
      <c r="J57" s="21">
        <v>48.1</v>
      </c>
      <c r="K57" s="21"/>
      <c r="L57" s="21">
        <f t="shared" si="26"/>
        <v>32.846562011779348</v>
      </c>
      <c r="M57" s="21">
        <f t="shared" si="27"/>
        <v>32.60755376429239</v>
      </c>
      <c r="N57" s="21">
        <f t="shared" si="28"/>
        <v>0.33800870511508518</v>
      </c>
      <c r="O57" s="21">
        <f t="shared" si="29"/>
        <v>1.0869184588097462</v>
      </c>
      <c r="P57" s="21"/>
      <c r="Q57" s="21"/>
    </row>
    <row r="58" spans="1:17" x14ac:dyDescent="0.2">
      <c r="A58" s="22" t="s">
        <v>0</v>
      </c>
      <c r="B58" s="23">
        <v>30</v>
      </c>
      <c r="C58" s="23" t="s">
        <v>42</v>
      </c>
      <c r="D58" s="23">
        <v>60</v>
      </c>
      <c r="E58" s="23">
        <v>1</v>
      </c>
      <c r="F58" s="23">
        <v>1</v>
      </c>
      <c r="G58" s="23">
        <v>43.4</v>
      </c>
      <c r="H58" s="23">
        <f>$B$3-G58</f>
        <v>206.6</v>
      </c>
      <c r="I58" s="23">
        <f t="shared" si="25"/>
        <v>29.637022688383031</v>
      </c>
      <c r="J58" s="23">
        <v>43.9</v>
      </c>
      <c r="K58" s="23">
        <f>$B$3-J58</f>
        <v>206.1</v>
      </c>
      <c r="L58" s="23">
        <f t="shared" si="26"/>
        <v>29.978463041935829</v>
      </c>
      <c r="M58" s="23">
        <f t="shared" si="27"/>
        <v>29.80774286515943</v>
      </c>
      <c r="N58" s="23">
        <f t="shared" si="28"/>
        <v>0.24143478936791585</v>
      </c>
      <c r="O58" s="23">
        <f t="shared" si="29"/>
        <v>0.99359142883864771</v>
      </c>
      <c r="P58" s="23"/>
      <c r="Q58" s="23"/>
    </row>
    <row r="59" spans="1:17" x14ac:dyDescent="0.2">
      <c r="A59" s="22" t="s">
        <v>0</v>
      </c>
      <c r="B59" s="23">
        <v>30</v>
      </c>
      <c r="C59" s="23" t="s">
        <v>42</v>
      </c>
      <c r="D59" s="23">
        <v>120</v>
      </c>
      <c r="E59" s="23">
        <v>2</v>
      </c>
      <c r="F59" s="23">
        <v>1</v>
      </c>
      <c r="G59" s="23">
        <v>42.2</v>
      </c>
      <c r="H59" s="23">
        <f>H58-G59</f>
        <v>164.39999999999998</v>
      </c>
      <c r="I59" s="23">
        <f t="shared" si="25"/>
        <v>28.817565839856311</v>
      </c>
      <c r="J59" s="23">
        <v>42.7</v>
      </c>
      <c r="K59" s="23">
        <f>K58-J59</f>
        <v>163.39999999999998</v>
      </c>
      <c r="L59" s="23">
        <f t="shared" si="26"/>
        <v>29.159006193409112</v>
      </c>
      <c r="M59" s="23">
        <f t="shared" si="27"/>
        <v>28.988286016632713</v>
      </c>
      <c r="N59" s="23">
        <f t="shared" si="28"/>
        <v>0.24143478936791835</v>
      </c>
      <c r="O59" s="23">
        <f t="shared" si="29"/>
        <v>0.96627620055442376</v>
      </c>
      <c r="P59" s="23"/>
      <c r="Q59" s="23"/>
    </row>
    <row r="60" spans="1:17" x14ac:dyDescent="0.2">
      <c r="A60" s="22" t="s">
        <v>0</v>
      </c>
      <c r="B60" s="23">
        <v>30</v>
      </c>
      <c r="C60" s="23" t="s">
        <v>42</v>
      </c>
      <c r="D60" s="23">
        <v>180</v>
      </c>
      <c r="E60" s="23">
        <v>3</v>
      </c>
      <c r="F60" s="23">
        <v>1</v>
      </c>
      <c r="G60" s="23">
        <v>38.9</v>
      </c>
      <c r="H60" s="23">
        <f>H59-G60</f>
        <v>125.49999999999997</v>
      </c>
      <c r="I60" s="23">
        <f t="shared" si="25"/>
        <v>26.56405950640783</v>
      </c>
      <c r="J60" s="23">
        <v>39.299999999999997</v>
      </c>
      <c r="K60" s="23">
        <f>K59-J60</f>
        <v>124.09999999999998</v>
      </c>
      <c r="L60" s="23">
        <f t="shared" si="26"/>
        <v>26.837211789250066</v>
      </c>
      <c r="M60" s="23">
        <f t="shared" si="27"/>
        <v>26.700635647828946</v>
      </c>
      <c r="N60" s="23">
        <f t="shared" si="28"/>
        <v>0.19314783149433118</v>
      </c>
      <c r="O60" s="23">
        <f t="shared" si="29"/>
        <v>0.89002118826096488</v>
      </c>
      <c r="P60" s="23"/>
      <c r="Q60" s="23"/>
    </row>
    <row r="61" spans="1:17" x14ac:dyDescent="0.2">
      <c r="A61" s="22" t="s">
        <v>0</v>
      </c>
      <c r="B61" s="23">
        <v>30</v>
      </c>
      <c r="C61" s="23" t="s">
        <v>42</v>
      </c>
      <c r="D61" s="23">
        <v>240</v>
      </c>
      <c r="E61" s="23">
        <v>4</v>
      </c>
      <c r="F61" s="23">
        <v>1</v>
      </c>
      <c r="G61" s="23">
        <v>34.799999999999997</v>
      </c>
      <c r="H61" s="23">
        <f>H60-G61</f>
        <v>90.699999999999974</v>
      </c>
      <c r="I61" s="23">
        <f t="shared" si="25"/>
        <v>23.764248607274869</v>
      </c>
      <c r="J61" s="23">
        <v>36.1</v>
      </c>
      <c r="K61" s="23">
        <f>K60-J61</f>
        <v>87.999999999999972</v>
      </c>
      <c r="L61" s="23">
        <f t="shared" si="26"/>
        <v>24.65199352651215</v>
      </c>
      <c r="M61" s="23">
        <f t="shared" si="27"/>
        <v>24.208121066893511</v>
      </c>
      <c r="N61" s="23">
        <f t="shared" si="28"/>
        <v>0.62773045235658564</v>
      </c>
      <c r="O61" s="23">
        <f t="shared" si="29"/>
        <v>0.8069373688964504</v>
      </c>
      <c r="P61" s="23"/>
      <c r="Q61" s="23"/>
    </row>
    <row r="62" spans="1:17" x14ac:dyDescent="0.2">
      <c r="A62" s="22" t="s">
        <v>0</v>
      </c>
      <c r="B62" s="23">
        <v>30</v>
      </c>
      <c r="C62" s="23" t="s">
        <v>42</v>
      </c>
      <c r="D62" s="23">
        <v>300</v>
      </c>
      <c r="E62" s="23">
        <v>5</v>
      </c>
      <c r="F62" s="23">
        <v>1</v>
      </c>
      <c r="G62" s="23">
        <v>34.5</v>
      </c>
      <c r="H62" s="23">
        <f>H61-G62</f>
        <v>56.199999999999974</v>
      </c>
      <c r="I62" s="23">
        <f t="shared" si="25"/>
        <v>23.559384395143194</v>
      </c>
      <c r="J62" s="23">
        <v>34.9</v>
      </c>
      <c r="K62" s="23">
        <f>K61-J62</f>
        <v>53.099999999999973</v>
      </c>
      <c r="L62" s="23">
        <f t="shared" si="26"/>
        <v>23.832536677985431</v>
      </c>
      <c r="M62" s="23">
        <f t="shared" si="27"/>
        <v>23.695960536564314</v>
      </c>
      <c r="N62" s="23">
        <f t="shared" si="28"/>
        <v>0.19314783149433118</v>
      </c>
      <c r="O62" s="23">
        <f t="shared" si="29"/>
        <v>0.78986535121881052</v>
      </c>
      <c r="P62" s="23"/>
      <c r="Q62" s="23"/>
    </row>
    <row r="63" spans="1:17" x14ac:dyDescent="0.2">
      <c r="A63" s="24" t="s">
        <v>0</v>
      </c>
      <c r="B63" s="25">
        <v>0</v>
      </c>
      <c r="C63" s="25" t="s">
        <v>45</v>
      </c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 spans="1:17" x14ac:dyDescent="0.2">
      <c r="A64" s="26" t="s">
        <v>0</v>
      </c>
      <c r="B64" s="27">
        <v>30</v>
      </c>
      <c r="C64" s="27" t="s">
        <v>46</v>
      </c>
      <c r="D64" s="27">
        <v>60</v>
      </c>
      <c r="E64" s="27">
        <v>1</v>
      </c>
      <c r="F64" s="27">
        <v>1</v>
      </c>
      <c r="G64" s="27">
        <v>45.1</v>
      </c>
      <c r="H64" s="27">
        <f>$B$3-G64</f>
        <v>204.9</v>
      </c>
      <c r="I64" s="27">
        <f>(G64/1000)/($B$2*F64)</f>
        <v>30.797919890462548</v>
      </c>
      <c r="J64" s="27">
        <v>45.7</v>
      </c>
      <c r="K64" s="27">
        <f>$B$3-J64</f>
        <v>204.3</v>
      </c>
      <c r="L64" s="27">
        <f>(J64/1000)/($B$2*F64)</f>
        <v>31.207648314725912</v>
      </c>
      <c r="M64" s="27">
        <f>AVERAGE(I64,L64)</f>
        <v>31.00278410259423</v>
      </c>
      <c r="N64" s="27">
        <f>STDEV(I64,L64)</f>
        <v>0.28972174724150301</v>
      </c>
      <c r="O64" s="27">
        <f>M64/B64</f>
        <v>1.033426136753141</v>
      </c>
      <c r="P64" s="27"/>
      <c r="Q64" s="27"/>
    </row>
    <row r="65" spans="1:17" x14ac:dyDescent="0.2">
      <c r="A65" s="26" t="s">
        <v>0</v>
      </c>
      <c r="B65" s="27">
        <v>30</v>
      </c>
      <c r="C65" s="27" t="s">
        <v>46</v>
      </c>
      <c r="D65" s="27">
        <v>120</v>
      </c>
      <c r="E65" s="27">
        <v>2</v>
      </c>
      <c r="F65" s="27">
        <v>1</v>
      </c>
      <c r="G65" s="27">
        <v>44.4</v>
      </c>
      <c r="H65" s="27">
        <f>H64-G65</f>
        <v>160.5</v>
      </c>
      <c r="I65" s="27">
        <f>(G65/1000)/($B$2*F65)</f>
        <v>30.31990339548863</v>
      </c>
      <c r="J65" s="27">
        <v>44.4</v>
      </c>
      <c r="K65" s="27">
        <f>K64-J65</f>
        <v>159.9</v>
      </c>
      <c r="L65" s="27">
        <f>(J65/1000)/($B$2*F65)</f>
        <v>30.31990339548863</v>
      </c>
      <c r="M65" s="27">
        <f>AVERAGE(I65,L65)</f>
        <v>30.31990339548863</v>
      </c>
      <c r="N65" s="27">
        <f>STDEV(I65,L65)</f>
        <v>0</v>
      </c>
      <c r="O65" s="27">
        <f>M65/B65</f>
        <v>1.0106634465162876</v>
      </c>
      <c r="P65" s="27">
        <f>AVERAGE(I65/I57*100,L65/L57*100)</f>
        <v>92.989289191820845</v>
      </c>
      <c r="Q65" s="27">
        <f>STDEV(I65/I57*100,L65/L57*100)</f>
        <v>0.96392355760582171</v>
      </c>
    </row>
  </sheetData>
  <mergeCells count="2">
    <mergeCell ref="A7:Q7"/>
    <mergeCell ref="A37:Q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CDE1-1418-C041-8F7B-33DACFDF9CE3}">
  <dimension ref="A1:Q65"/>
  <sheetViews>
    <sheetView zoomScale="69" workbookViewId="0">
      <selection activeCell="P11" sqref="P11"/>
    </sheetView>
  </sheetViews>
  <sheetFormatPr baseColWidth="10" defaultColWidth="8.83203125" defaultRowHeight="16" x14ac:dyDescent="0.2"/>
  <cols>
    <col min="1" max="1" width="14" style="17" customWidth="1"/>
    <col min="2" max="2" width="12" style="17" customWidth="1"/>
    <col min="3" max="3" width="20.1640625" style="17" bestFit="1" customWidth="1"/>
    <col min="4" max="4" width="11" style="17" customWidth="1"/>
    <col min="5" max="5" width="8" style="17" customWidth="1"/>
    <col min="6" max="6" width="9" style="17" customWidth="1"/>
    <col min="7" max="8" width="16" style="17" customWidth="1"/>
    <col min="9" max="9" width="13" style="17" customWidth="1"/>
    <col min="10" max="11" width="16" style="17" customWidth="1"/>
    <col min="12" max="12" width="13" style="17" customWidth="1"/>
    <col min="13" max="13" width="14" style="17" customWidth="1"/>
    <col min="14" max="14" width="12" style="17" customWidth="1"/>
    <col min="15" max="15" width="16" style="17" customWidth="1"/>
    <col min="16" max="16" width="15" style="17" customWidth="1"/>
    <col min="17" max="17" width="14" style="17" customWidth="1"/>
    <col min="18" max="16384" width="8.83203125" style="17"/>
  </cols>
  <sheetData>
    <row r="1" spans="1:17" x14ac:dyDescent="0.2">
      <c r="A1" s="5" t="s">
        <v>17</v>
      </c>
      <c r="B1" s="5" t="s">
        <v>18</v>
      </c>
      <c r="C1" s="16"/>
      <c r="D1" s="5" t="s">
        <v>19</v>
      </c>
      <c r="E1" s="5" t="s">
        <v>20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">
      <c r="A2" s="17" t="s">
        <v>21</v>
      </c>
      <c r="B2" s="18">
        <v>1.4643846129999999E-3</v>
      </c>
      <c r="D2" s="17" t="s">
        <v>5</v>
      </c>
      <c r="E2" s="19">
        <v>12</v>
      </c>
    </row>
    <row r="3" spans="1:17" x14ac:dyDescent="0.2">
      <c r="A3" s="17" t="s">
        <v>22</v>
      </c>
      <c r="B3" s="19">
        <v>250</v>
      </c>
      <c r="D3" s="17" t="s">
        <v>1</v>
      </c>
      <c r="E3" s="19">
        <v>30</v>
      </c>
    </row>
    <row r="4" spans="1:17" x14ac:dyDescent="0.2">
      <c r="A4" s="17" t="s">
        <v>23</v>
      </c>
      <c r="B4" s="19">
        <v>20</v>
      </c>
      <c r="D4" s="17" t="s">
        <v>0</v>
      </c>
      <c r="E4" s="19">
        <v>30</v>
      </c>
    </row>
    <row r="5" spans="1:17" x14ac:dyDescent="0.2">
      <c r="A5" s="17" t="s">
        <v>24</v>
      </c>
      <c r="B5" s="19">
        <v>7</v>
      </c>
    </row>
    <row r="7" spans="1:17" x14ac:dyDescent="0.2">
      <c r="A7" s="37" t="s">
        <v>25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</row>
    <row r="8" spans="1:17" ht="34" x14ac:dyDescent="0.2">
      <c r="A8" s="10" t="s">
        <v>19</v>
      </c>
      <c r="B8" s="10" t="s">
        <v>26</v>
      </c>
      <c r="C8" s="10" t="s">
        <v>27</v>
      </c>
      <c r="D8" s="10" t="s">
        <v>28</v>
      </c>
      <c r="E8" s="10" t="s">
        <v>4</v>
      </c>
      <c r="F8" s="10" t="s">
        <v>29</v>
      </c>
      <c r="G8" s="10" t="s">
        <v>30</v>
      </c>
      <c r="H8" s="10" t="s">
        <v>31</v>
      </c>
      <c r="I8" s="10" t="s">
        <v>32</v>
      </c>
      <c r="J8" s="10" t="s">
        <v>33</v>
      </c>
      <c r="K8" s="10" t="s">
        <v>34</v>
      </c>
      <c r="L8" s="10" t="s">
        <v>35</v>
      </c>
      <c r="M8" s="10" t="s">
        <v>36</v>
      </c>
      <c r="N8" s="10" t="s">
        <v>37</v>
      </c>
      <c r="O8" s="10" t="s">
        <v>38</v>
      </c>
      <c r="P8" s="10" t="s">
        <v>43</v>
      </c>
      <c r="Q8" s="10" t="s">
        <v>44</v>
      </c>
    </row>
    <row r="9" spans="1:17" x14ac:dyDescent="0.2">
      <c r="A9" s="20" t="s">
        <v>5</v>
      </c>
      <c r="B9" s="21">
        <v>12</v>
      </c>
      <c r="C9" s="21" t="s">
        <v>39</v>
      </c>
      <c r="D9" s="21">
        <v>300</v>
      </c>
      <c r="E9" s="21">
        <v>5</v>
      </c>
      <c r="F9" s="21">
        <v>1</v>
      </c>
      <c r="G9" s="21">
        <v>47.4</v>
      </c>
      <c r="H9" s="21"/>
      <c r="I9" s="21">
        <f t="shared" ref="I9:I14" si="0">(G9/1000)/($B$2*F9)</f>
        <v>32.368545516805426</v>
      </c>
      <c r="J9" s="21">
        <v>48.1</v>
      </c>
      <c r="K9" s="21"/>
      <c r="L9" s="21">
        <f t="shared" ref="L9:L14" si="1">(J9/1000)/($B$2*F9)</f>
        <v>32.846562011779348</v>
      </c>
      <c r="M9" s="21">
        <f t="shared" ref="M9:M14" si="2">AVERAGE(I9,L9)</f>
        <v>32.60755376429239</v>
      </c>
      <c r="N9" s="21">
        <f t="shared" ref="N9:N14" si="3">STDEV(I9,L9)</f>
        <v>0.33800870511508518</v>
      </c>
      <c r="O9" s="21">
        <f t="shared" ref="O9:O14" si="4">M9/B9</f>
        <v>2.7172961470243657</v>
      </c>
      <c r="P9" s="21"/>
      <c r="Q9" s="21"/>
    </row>
    <row r="10" spans="1:17" x14ac:dyDescent="0.2">
      <c r="A10" s="22" t="s">
        <v>5</v>
      </c>
      <c r="B10" s="23">
        <v>12</v>
      </c>
      <c r="C10" s="23" t="s">
        <v>40</v>
      </c>
      <c r="D10" s="23">
        <v>60</v>
      </c>
      <c r="E10" s="23">
        <v>1</v>
      </c>
      <c r="F10" s="23">
        <v>1</v>
      </c>
      <c r="G10" s="23">
        <v>42.8</v>
      </c>
      <c r="H10" s="23">
        <f>$B$3-G10</f>
        <v>207.2</v>
      </c>
      <c r="I10" s="23">
        <f t="shared" si="0"/>
        <v>29.227294264119667</v>
      </c>
      <c r="J10" s="23">
        <v>43.3</v>
      </c>
      <c r="K10" s="23">
        <f>$B$3-J10</f>
        <v>206.7</v>
      </c>
      <c r="L10" s="23">
        <f t="shared" si="1"/>
        <v>29.568734617672469</v>
      </c>
      <c r="M10" s="23">
        <f t="shared" si="2"/>
        <v>29.39801444089607</v>
      </c>
      <c r="N10" s="23">
        <f t="shared" si="3"/>
        <v>0.24143478936791835</v>
      </c>
      <c r="O10" s="23">
        <f t="shared" si="4"/>
        <v>2.449834536741339</v>
      </c>
      <c r="P10" s="23"/>
      <c r="Q10" s="23"/>
    </row>
    <row r="11" spans="1:17" x14ac:dyDescent="0.2">
      <c r="A11" s="22" t="s">
        <v>5</v>
      </c>
      <c r="B11" s="23">
        <v>12</v>
      </c>
      <c r="C11" s="23" t="s">
        <v>40</v>
      </c>
      <c r="D11" s="23">
        <v>120</v>
      </c>
      <c r="E11" s="23">
        <v>2</v>
      </c>
      <c r="F11" s="23">
        <v>1</v>
      </c>
      <c r="G11" s="23">
        <v>36.200000000000003</v>
      </c>
      <c r="H11" s="23">
        <f>H10-G11</f>
        <v>171</v>
      </c>
      <c r="I11" s="23">
        <f t="shared" si="0"/>
        <v>24.720281597222712</v>
      </c>
      <c r="J11" s="23">
        <v>36.700000000000003</v>
      </c>
      <c r="K11" s="23">
        <f>K10-J11</f>
        <v>170</v>
      </c>
      <c r="L11" s="23">
        <f t="shared" si="1"/>
        <v>25.061721950775514</v>
      </c>
      <c r="M11" s="23">
        <f t="shared" si="2"/>
        <v>24.891001773999115</v>
      </c>
      <c r="N11" s="23">
        <f t="shared" si="3"/>
        <v>0.24143478936791835</v>
      </c>
      <c r="O11" s="23">
        <f t="shared" si="4"/>
        <v>2.0742501478332596</v>
      </c>
      <c r="P11" s="23"/>
      <c r="Q11" s="23"/>
    </row>
    <row r="12" spans="1:17" x14ac:dyDescent="0.2">
      <c r="A12" s="22" t="s">
        <v>5</v>
      </c>
      <c r="B12" s="23">
        <v>12</v>
      </c>
      <c r="C12" s="23" t="s">
        <v>40</v>
      </c>
      <c r="D12" s="23">
        <v>180</v>
      </c>
      <c r="E12" s="23">
        <v>3</v>
      </c>
      <c r="F12" s="23">
        <v>1</v>
      </c>
      <c r="G12" s="23">
        <v>32</v>
      </c>
      <c r="H12" s="23">
        <f>H11-G12</f>
        <v>139</v>
      </c>
      <c r="I12" s="23">
        <f t="shared" si="0"/>
        <v>21.852182627379193</v>
      </c>
      <c r="J12" s="23">
        <v>33</v>
      </c>
      <c r="K12" s="23">
        <f>K11-J12</f>
        <v>137</v>
      </c>
      <c r="L12" s="23">
        <f t="shared" si="1"/>
        <v>22.535063334484793</v>
      </c>
      <c r="M12" s="23">
        <f t="shared" si="2"/>
        <v>22.193622980931991</v>
      </c>
      <c r="N12" s="23">
        <f t="shared" si="3"/>
        <v>0.48286957873583419</v>
      </c>
      <c r="O12" s="23">
        <f t="shared" si="4"/>
        <v>1.8494685817443326</v>
      </c>
      <c r="P12" s="23"/>
      <c r="Q12" s="23"/>
    </row>
    <row r="13" spans="1:17" x14ac:dyDescent="0.2">
      <c r="A13" s="22" t="s">
        <v>5</v>
      </c>
      <c r="B13" s="23">
        <v>12</v>
      </c>
      <c r="C13" s="23" t="s">
        <v>40</v>
      </c>
      <c r="D13" s="23">
        <v>240</v>
      </c>
      <c r="E13" s="23">
        <v>4</v>
      </c>
      <c r="F13" s="23">
        <v>1</v>
      </c>
      <c r="G13" s="23">
        <v>23.8</v>
      </c>
      <c r="H13" s="23">
        <f>H12-G13</f>
        <v>115.2</v>
      </c>
      <c r="I13" s="23">
        <f t="shared" si="0"/>
        <v>16.252560829113275</v>
      </c>
      <c r="J13" s="23">
        <v>24.8</v>
      </c>
      <c r="K13" s="23">
        <f>K12-J13</f>
        <v>112.2</v>
      </c>
      <c r="L13" s="23">
        <f t="shared" si="1"/>
        <v>16.935441536218875</v>
      </c>
      <c r="M13" s="23">
        <f t="shared" si="2"/>
        <v>16.594001182666076</v>
      </c>
      <c r="N13" s="23">
        <f t="shared" si="3"/>
        <v>0.48286957873583419</v>
      </c>
      <c r="O13" s="23">
        <f t="shared" si="4"/>
        <v>1.3828334318888398</v>
      </c>
      <c r="P13" s="23"/>
      <c r="Q13" s="23"/>
    </row>
    <row r="14" spans="1:17" x14ac:dyDescent="0.2">
      <c r="A14" s="22" t="s">
        <v>5</v>
      </c>
      <c r="B14" s="23">
        <v>12</v>
      </c>
      <c r="C14" s="23" t="s">
        <v>40</v>
      </c>
      <c r="D14" s="23">
        <v>300</v>
      </c>
      <c r="E14" s="23">
        <v>5</v>
      </c>
      <c r="F14" s="23">
        <v>1</v>
      </c>
      <c r="G14" s="23">
        <v>21.6</v>
      </c>
      <c r="H14" s="23">
        <f>H13-G14</f>
        <v>93.6</v>
      </c>
      <c r="I14" s="23">
        <f t="shared" si="0"/>
        <v>14.750223273480955</v>
      </c>
      <c r="J14" s="23">
        <v>22.6</v>
      </c>
      <c r="K14" s="23">
        <f>K13-J14</f>
        <v>89.6</v>
      </c>
      <c r="L14" s="23">
        <f t="shared" si="1"/>
        <v>15.433103980586555</v>
      </c>
      <c r="M14" s="23">
        <f t="shared" si="2"/>
        <v>15.091663627033755</v>
      </c>
      <c r="N14" s="23">
        <f t="shared" si="3"/>
        <v>0.48286957873583419</v>
      </c>
      <c r="O14" s="23">
        <f t="shared" si="4"/>
        <v>1.2576386355861462</v>
      </c>
      <c r="P14" s="23"/>
      <c r="Q14" s="23"/>
    </row>
    <row r="15" spans="1:17" x14ac:dyDescent="0.2">
      <c r="A15" s="24" t="s">
        <v>5</v>
      </c>
      <c r="B15" s="25">
        <v>0</v>
      </c>
      <c r="C15" s="25" t="s">
        <v>47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</row>
    <row r="16" spans="1:17" x14ac:dyDescent="0.2">
      <c r="A16" s="26" t="s">
        <v>5</v>
      </c>
      <c r="B16" s="27">
        <v>12</v>
      </c>
      <c r="C16" s="27" t="s">
        <v>46</v>
      </c>
      <c r="D16" s="27">
        <v>60</v>
      </c>
      <c r="E16" s="27">
        <v>1</v>
      </c>
      <c r="F16" s="27">
        <v>1</v>
      </c>
      <c r="G16" s="27">
        <v>29.4</v>
      </c>
      <c r="H16" s="27">
        <f>$B$3-G16</f>
        <v>220.6</v>
      </c>
      <c r="I16" s="27">
        <f t="shared" ref="I16:I23" si="5">(G16/1000)/($B$2*F16)</f>
        <v>20.076692788904634</v>
      </c>
      <c r="J16" s="27">
        <v>30</v>
      </c>
      <c r="K16" s="27">
        <f>$B$3-J16</f>
        <v>220</v>
      </c>
      <c r="L16" s="27">
        <f t="shared" ref="L16:L23" si="6">(J16/1000)/($B$2*F16)</f>
        <v>20.486421213167993</v>
      </c>
      <c r="M16" s="27">
        <f t="shared" ref="M16:M23" si="7">AVERAGE(I16,L16)</f>
        <v>20.281557001036312</v>
      </c>
      <c r="N16" s="27">
        <f t="shared" ref="N16:N23" si="8">STDEV(I16,L16)</f>
        <v>0.28972174724150052</v>
      </c>
      <c r="O16" s="27">
        <f t="shared" ref="O16:O23" si="9">M16/B16</f>
        <v>1.6901297500863592</v>
      </c>
      <c r="P16" s="27"/>
      <c r="Q16" s="27"/>
    </row>
    <row r="17" spans="1:17" x14ac:dyDescent="0.2">
      <c r="A17" s="26" t="s">
        <v>5</v>
      </c>
      <c r="B17" s="27">
        <v>12</v>
      </c>
      <c r="C17" s="27" t="s">
        <v>46</v>
      </c>
      <c r="D17" s="27">
        <v>120</v>
      </c>
      <c r="E17" s="27">
        <v>2</v>
      </c>
      <c r="F17" s="27">
        <v>1</v>
      </c>
      <c r="G17" s="27">
        <v>28.1</v>
      </c>
      <c r="H17" s="27">
        <f>H16-G17</f>
        <v>192.5</v>
      </c>
      <c r="I17" s="27">
        <f t="shared" si="5"/>
        <v>19.188947869667352</v>
      </c>
      <c r="J17" s="27">
        <v>29.2</v>
      </c>
      <c r="K17" s="27">
        <f>K16-J17</f>
        <v>190.8</v>
      </c>
      <c r="L17" s="27">
        <f t="shared" si="6"/>
        <v>19.940116647483514</v>
      </c>
      <c r="M17" s="27">
        <f t="shared" si="7"/>
        <v>19.564532258575433</v>
      </c>
      <c r="N17" s="27">
        <f t="shared" si="8"/>
        <v>0.53115653660941886</v>
      </c>
      <c r="O17" s="27">
        <f t="shared" si="9"/>
        <v>1.6303776882146195</v>
      </c>
      <c r="P17" s="27">
        <f>AVERAGE(I17/I9*100,L17/L9*100)</f>
        <v>59.994780564400813</v>
      </c>
      <c r="Q17" s="27">
        <f>STDEV(I17/I9*100,L17/L9*100)</f>
        <v>1.0070333949633463</v>
      </c>
    </row>
    <row r="18" spans="1:17" x14ac:dyDescent="0.2">
      <c r="A18" s="20" t="s">
        <v>1</v>
      </c>
      <c r="B18" s="21">
        <v>30</v>
      </c>
      <c r="C18" s="21" t="s">
        <v>39</v>
      </c>
      <c r="D18" s="21">
        <v>300</v>
      </c>
      <c r="E18" s="21">
        <v>5</v>
      </c>
      <c r="F18" s="21">
        <v>1</v>
      </c>
      <c r="G18" s="21">
        <v>48.2</v>
      </c>
      <c r="H18" s="21"/>
      <c r="I18" s="21">
        <f t="shared" si="5"/>
        <v>32.914850082489906</v>
      </c>
      <c r="J18" s="21">
        <v>48.7</v>
      </c>
      <c r="K18" s="21"/>
      <c r="L18" s="21">
        <f t="shared" si="6"/>
        <v>33.256290436042711</v>
      </c>
      <c r="M18" s="21">
        <f t="shared" si="7"/>
        <v>33.085570259266305</v>
      </c>
      <c r="N18" s="21">
        <f t="shared" si="8"/>
        <v>0.24143478936792087</v>
      </c>
      <c r="O18" s="21">
        <f t="shared" si="9"/>
        <v>1.1028523419755436</v>
      </c>
      <c r="P18" s="21"/>
      <c r="Q18" s="21"/>
    </row>
    <row r="19" spans="1:17" x14ac:dyDescent="0.2">
      <c r="A19" s="22" t="s">
        <v>1</v>
      </c>
      <c r="B19" s="23">
        <v>30</v>
      </c>
      <c r="C19" s="23" t="s">
        <v>40</v>
      </c>
      <c r="D19" s="23">
        <v>60</v>
      </c>
      <c r="E19" s="23">
        <v>1</v>
      </c>
      <c r="F19" s="23">
        <v>1</v>
      </c>
      <c r="G19" s="23">
        <v>42.7</v>
      </c>
      <c r="H19" s="23">
        <f>$B$3-G19</f>
        <v>207.3</v>
      </c>
      <c r="I19" s="23">
        <f t="shared" si="5"/>
        <v>29.159006193409112</v>
      </c>
      <c r="J19" s="23">
        <v>43.1</v>
      </c>
      <c r="K19" s="23">
        <f>$B$3-J19</f>
        <v>206.9</v>
      </c>
      <c r="L19" s="23">
        <f t="shared" si="6"/>
        <v>29.432158476251349</v>
      </c>
      <c r="M19" s="23">
        <f t="shared" si="7"/>
        <v>29.295582334830229</v>
      </c>
      <c r="N19" s="23">
        <f t="shared" si="8"/>
        <v>0.19314783149433118</v>
      </c>
      <c r="O19" s="23">
        <f t="shared" si="9"/>
        <v>0.9765194111610076</v>
      </c>
      <c r="P19" s="23"/>
      <c r="Q19" s="23"/>
    </row>
    <row r="20" spans="1:17" x14ac:dyDescent="0.2">
      <c r="A20" s="22" t="s">
        <v>1</v>
      </c>
      <c r="B20" s="23">
        <v>30</v>
      </c>
      <c r="C20" s="23" t="s">
        <v>40</v>
      </c>
      <c r="D20" s="23">
        <v>120</v>
      </c>
      <c r="E20" s="23">
        <v>2</v>
      </c>
      <c r="F20" s="23">
        <v>1</v>
      </c>
      <c r="G20" s="23">
        <v>38.299999999999997</v>
      </c>
      <c r="H20" s="23">
        <f>H19-G20</f>
        <v>169</v>
      </c>
      <c r="I20" s="23">
        <f t="shared" si="5"/>
        <v>26.154331082144466</v>
      </c>
      <c r="J20" s="23">
        <v>39.299999999999997</v>
      </c>
      <c r="K20" s="23">
        <f>K19-J20</f>
        <v>167.60000000000002</v>
      </c>
      <c r="L20" s="23">
        <f t="shared" si="6"/>
        <v>26.837211789250066</v>
      </c>
      <c r="M20" s="23">
        <f t="shared" si="7"/>
        <v>26.495771435697264</v>
      </c>
      <c r="N20" s="23">
        <f t="shared" si="8"/>
        <v>0.48286957873583419</v>
      </c>
      <c r="O20" s="23">
        <f t="shared" si="9"/>
        <v>0.88319238118990884</v>
      </c>
      <c r="P20" s="23"/>
      <c r="Q20" s="23"/>
    </row>
    <row r="21" spans="1:17" x14ac:dyDescent="0.2">
      <c r="A21" s="22" t="s">
        <v>1</v>
      </c>
      <c r="B21" s="23">
        <v>30</v>
      </c>
      <c r="C21" s="23" t="s">
        <v>40</v>
      </c>
      <c r="D21" s="23">
        <v>180</v>
      </c>
      <c r="E21" s="23">
        <v>3</v>
      </c>
      <c r="F21" s="23">
        <v>1</v>
      </c>
      <c r="G21" s="23">
        <v>36.4</v>
      </c>
      <c r="H21" s="23">
        <f>H20-G21</f>
        <v>132.6</v>
      </c>
      <c r="I21" s="23">
        <f t="shared" si="5"/>
        <v>24.856857738643832</v>
      </c>
      <c r="J21" s="23">
        <v>36.799999999999997</v>
      </c>
      <c r="K21" s="23">
        <f>K20-J21</f>
        <v>130.80000000000001</v>
      </c>
      <c r="L21" s="23">
        <f t="shared" si="6"/>
        <v>25.130010021486072</v>
      </c>
      <c r="M21" s="23">
        <f t="shared" si="7"/>
        <v>24.993433880064952</v>
      </c>
      <c r="N21" s="23">
        <f t="shared" si="8"/>
        <v>0.19314783149433368</v>
      </c>
      <c r="O21" s="23">
        <f t="shared" si="9"/>
        <v>0.83311446266883171</v>
      </c>
      <c r="P21" s="23"/>
      <c r="Q21" s="23"/>
    </row>
    <row r="22" spans="1:17" x14ac:dyDescent="0.2">
      <c r="A22" s="22" t="s">
        <v>1</v>
      </c>
      <c r="B22" s="23">
        <v>30</v>
      </c>
      <c r="C22" s="23" t="s">
        <v>40</v>
      </c>
      <c r="D22" s="23">
        <v>240</v>
      </c>
      <c r="E22" s="23">
        <v>4</v>
      </c>
      <c r="F22" s="23">
        <v>1</v>
      </c>
      <c r="G22" s="23">
        <v>32.700000000000003</v>
      </c>
      <c r="H22" s="23">
        <f>H21-G22</f>
        <v>99.899999999999991</v>
      </c>
      <c r="I22" s="23">
        <f t="shared" si="5"/>
        <v>22.330199122353111</v>
      </c>
      <c r="J22" s="23">
        <v>33.200000000000003</v>
      </c>
      <c r="K22" s="23">
        <f>K21-J22</f>
        <v>97.600000000000009</v>
      </c>
      <c r="L22" s="23">
        <f t="shared" si="6"/>
        <v>22.671639475905913</v>
      </c>
      <c r="M22" s="23">
        <f t="shared" si="7"/>
        <v>22.500919299129514</v>
      </c>
      <c r="N22" s="23">
        <f t="shared" si="8"/>
        <v>0.24143478936791835</v>
      </c>
      <c r="O22" s="23">
        <f t="shared" si="9"/>
        <v>0.75003064330431712</v>
      </c>
      <c r="P22" s="23"/>
      <c r="Q22" s="23"/>
    </row>
    <row r="23" spans="1:17" x14ac:dyDescent="0.2">
      <c r="A23" s="22" t="s">
        <v>1</v>
      </c>
      <c r="B23" s="23">
        <v>30</v>
      </c>
      <c r="C23" s="23" t="s">
        <v>40</v>
      </c>
      <c r="D23" s="23">
        <v>300</v>
      </c>
      <c r="E23" s="23">
        <v>5</v>
      </c>
      <c r="F23" s="23">
        <v>1</v>
      </c>
      <c r="G23" s="23">
        <v>30.1</v>
      </c>
      <c r="H23" s="23">
        <f>H22-G23</f>
        <v>69.799999999999983</v>
      </c>
      <c r="I23" s="23">
        <f t="shared" si="5"/>
        <v>20.554709283878555</v>
      </c>
      <c r="J23" s="23">
        <v>30.5</v>
      </c>
      <c r="K23" s="23">
        <f>K22-J23</f>
        <v>67.100000000000009</v>
      </c>
      <c r="L23" s="23">
        <f t="shared" si="6"/>
        <v>20.827861566720792</v>
      </c>
      <c r="M23" s="23">
        <f t="shared" si="7"/>
        <v>20.691285425299675</v>
      </c>
      <c r="N23" s="23">
        <f t="shared" si="8"/>
        <v>0.19314783149433118</v>
      </c>
      <c r="O23" s="23">
        <f t="shared" si="9"/>
        <v>0.68970951417665582</v>
      </c>
      <c r="P23" s="23"/>
      <c r="Q23" s="23"/>
    </row>
    <row r="24" spans="1:17" x14ac:dyDescent="0.2">
      <c r="A24" s="24" t="s">
        <v>1</v>
      </c>
      <c r="B24" s="25">
        <v>0</v>
      </c>
      <c r="C24" s="25" t="s">
        <v>47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</row>
    <row r="25" spans="1:17" x14ac:dyDescent="0.2">
      <c r="A25" s="26" t="s">
        <v>1</v>
      </c>
      <c r="B25" s="27">
        <v>30</v>
      </c>
      <c r="C25" s="27" t="s">
        <v>46</v>
      </c>
      <c r="D25" s="27">
        <v>60</v>
      </c>
      <c r="E25" s="27">
        <v>1</v>
      </c>
      <c r="F25" s="27">
        <v>1</v>
      </c>
      <c r="G25" s="27">
        <v>44.3</v>
      </c>
      <c r="H25" s="27">
        <f>$B$3-G25</f>
        <v>205.7</v>
      </c>
      <c r="I25" s="27">
        <f t="shared" ref="I25:I32" si="10">(G25/1000)/($B$2*F25)</f>
        <v>30.251615324778069</v>
      </c>
      <c r="J25" s="27">
        <v>44.9</v>
      </c>
      <c r="K25" s="27">
        <f>$B$3-J25</f>
        <v>205.1</v>
      </c>
      <c r="L25" s="27">
        <f t="shared" ref="L25:L32" si="11">(J25/1000)/($B$2*F25)</f>
        <v>30.661343749041425</v>
      </c>
      <c r="M25" s="27">
        <f t="shared" ref="M25:M32" si="12">AVERAGE(I25,L25)</f>
        <v>30.456479536909747</v>
      </c>
      <c r="N25" s="27">
        <f t="shared" ref="N25:N32" si="13">STDEV(I25,L25)</f>
        <v>0.28972174724149802</v>
      </c>
      <c r="O25" s="27">
        <f t="shared" ref="O25:O32" si="14">M25/B25</f>
        <v>1.0152159845636581</v>
      </c>
      <c r="P25" s="27"/>
      <c r="Q25" s="27"/>
    </row>
    <row r="26" spans="1:17" x14ac:dyDescent="0.2">
      <c r="A26" s="26" t="s">
        <v>1</v>
      </c>
      <c r="B26" s="27">
        <v>30</v>
      </c>
      <c r="C26" s="27" t="s">
        <v>46</v>
      </c>
      <c r="D26" s="27">
        <v>120</v>
      </c>
      <c r="E26" s="27">
        <v>2</v>
      </c>
      <c r="F26" s="27">
        <v>1</v>
      </c>
      <c r="G26" s="27">
        <v>43.7</v>
      </c>
      <c r="H26" s="27">
        <f>H25-G26</f>
        <v>162</v>
      </c>
      <c r="I26" s="27">
        <f t="shared" si="10"/>
        <v>29.841886900514712</v>
      </c>
      <c r="J26" s="27">
        <v>43.5</v>
      </c>
      <c r="K26" s="27">
        <f>K25-J26</f>
        <v>161.6</v>
      </c>
      <c r="L26" s="27">
        <f t="shared" si="11"/>
        <v>29.705310759093589</v>
      </c>
      <c r="M26" s="27">
        <f t="shared" si="12"/>
        <v>29.773598829804151</v>
      </c>
      <c r="N26" s="27">
        <f t="shared" si="13"/>
        <v>9.657391574716935E-2</v>
      </c>
      <c r="O26" s="27">
        <f t="shared" si="14"/>
        <v>0.99245329432680507</v>
      </c>
      <c r="P26" s="27">
        <f>AVERAGE(I26/I18*100,L26/L18*100)</f>
        <v>89.99314117256128</v>
      </c>
      <c r="Q26" s="27">
        <f>STDEV(I26/I18*100,L26/L18*100)</f>
        <v>0.94859681765593529</v>
      </c>
    </row>
    <row r="27" spans="1:17" x14ac:dyDescent="0.2">
      <c r="A27" s="20" t="s">
        <v>0</v>
      </c>
      <c r="B27" s="21">
        <v>30</v>
      </c>
      <c r="C27" s="21" t="s">
        <v>39</v>
      </c>
      <c r="D27" s="21">
        <v>300</v>
      </c>
      <c r="E27" s="21">
        <v>5</v>
      </c>
      <c r="F27" s="21">
        <v>1</v>
      </c>
      <c r="G27" s="21">
        <v>47.7</v>
      </c>
      <c r="H27" s="21"/>
      <c r="I27" s="21">
        <f t="shared" si="10"/>
        <v>32.573409728937115</v>
      </c>
      <c r="J27" s="21">
        <v>48.4</v>
      </c>
      <c r="K27" s="21"/>
      <c r="L27" s="21">
        <f t="shared" si="11"/>
        <v>33.051426223911029</v>
      </c>
      <c r="M27" s="21">
        <f t="shared" si="12"/>
        <v>32.812417976424072</v>
      </c>
      <c r="N27" s="21">
        <f t="shared" si="13"/>
        <v>0.33800870511508019</v>
      </c>
      <c r="O27" s="21">
        <f t="shared" si="14"/>
        <v>1.0937472658808025</v>
      </c>
      <c r="P27" s="21"/>
      <c r="Q27" s="21"/>
    </row>
    <row r="28" spans="1:17" x14ac:dyDescent="0.2">
      <c r="A28" s="22" t="s">
        <v>0</v>
      </c>
      <c r="B28" s="23">
        <v>30</v>
      </c>
      <c r="C28" s="23" t="s">
        <v>40</v>
      </c>
      <c r="D28" s="23">
        <v>60</v>
      </c>
      <c r="E28" s="23">
        <v>1</v>
      </c>
      <c r="F28" s="23">
        <v>1</v>
      </c>
      <c r="G28" s="23">
        <v>43.3</v>
      </c>
      <c r="H28" s="23">
        <f>$B$3-G28</f>
        <v>206.7</v>
      </c>
      <c r="I28" s="23">
        <f t="shared" si="10"/>
        <v>29.568734617672469</v>
      </c>
      <c r="J28" s="23">
        <v>43.7</v>
      </c>
      <c r="K28" s="23">
        <f>$B$3-J28</f>
        <v>206.3</v>
      </c>
      <c r="L28" s="23">
        <f t="shared" si="11"/>
        <v>29.841886900514712</v>
      </c>
      <c r="M28" s="23">
        <f t="shared" si="12"/>
        <v>29.705310759093592</v>
      </c>
      <c r="N28" s="23">
        <f t="shared" si="13"/>
        <v>0.19314783149433618</v>
      </c>
      <c r="O28" s="23">
        <f t="shared" si="14"/>
        <v>0.9901770253031198</v>
      </c>
      <c r="P28" s="23"/>
      <c r="Q28" s="23"/>
    </row>
    <row r="29" spans="1:17" x14ac:dyDescent="0.2">
      <c r="A29" s="22" t="s">
        <v>0</v>
      </c>
      <c r="B29" s="23">
        <v>30</v>
      </c>
      <c r="C29" s="23" t="s">
        <v>40</v>
      </c>
      <c r="D29" s="23">
        <v>120</v>
      </c>
      <c r="E29" s="23">
        <v>2</v>
      </c>
      <c r="F29" s="23">
        <v>1</v>
      </c>
      <c r="G29" s="23">
        <v>40.6</v>
      </c>
      <c r="H29" s="23">
        <f>H28-G29</f>
        <v>166.1</v>
      </c>
      <c r="I29" s="23">
        <f t="shared" si="10"/>
        <v>27.724956708487351</v>
      </c>
      <c r="J29" s="23">
        <v>41.1</v>
      </c>
      <c r="K29" s="23">
        <f>K28-J29</f>
        <v>165.20000000000002</v>
      </c>
      <c r="L29" s="23">
        <f t="shared" si="11"/>
        <v>28.066397062040153</v>
      </c>
      <c r="M29" s="23">
        <f t="shared" si="12"/>
        <v>27.895676885263754</v>
      </c>
      <c r="N29" s="23">
        <f t="shared" si="13"/>
        <v>0.24143478936791835</v>
      </c>
      <c r="O29" s="23">
        <f t="shared" si="14"/>
        <v>0.9298558961754585</v>
      </c>
      <c r="P29" s="23"/>
      <c r="Q29" s="23"/>
    </row>
    <row r="30" spans="1:17" x14ac:dyDescent="0.2">
      <c r="A30" s="22" t="s">
        <v>0</v>
      </c>
      <c r="B30" s="23">
        <v>30</v>
      </c>
      <c r="C30" s="23" t="s">
        <v>40</v>
      </c>
      <c r="D30" s="23">
        <v>180</v>
      </c>
      <c r="E30" s="23">
        <v>3</v>
      </c>
      <c r="F30" s="23">
        <v>1</v>
      </c>
      <c r="G30" s="23">
        <v>37.1</v>
      </c>
      <c r="H30" s="23">
        <f>H29-G30</f>
        <v>129</v>
      </c>
      <c r="I30" s="23">
        <f t="shared" si="10"/>
        <v>25.33487423361775</v>
      </c>
      <c r="J30" s="23">
        <v>38.200000000000003</v>
      </c>
      <c r="K30" s="23">
        <f>K29-J30</f>
        <v>127.00000000000001</v>
      </c>
      <c r="L30" s="23">
        <f t="shared" si="11"/>
        <v>26.086043011433915</v>
      </c>
      <c r="M30" s="23">
        <f t="shared" si="12"/>
        <v>25.710458622525834</v>
      </c>
      <c r="N30" s="23">
        <f t="shared" si="13"/>
        <v>0.53115653660942141</v>
      </c>
      <c r="O30" s="23">
        <f t="shared" si="14"/>
        <v>0.85701528741752786</v>
      </c>
      <c r="P30" s="23"/>
      <c r="Q30" s="23"/>
    </row>
    <row r="31" spans="1:17" x14ac:dyDescent="0.2">
      <c r="A31" s="22" t="s">
        <v>0</v>
      </c>
      <c r="B31" s="23">
        <v>30</v>
      </c>
      <c r="C31" s="23" t="s">
        <v>40</v>
      </c>
      <c r="D31" s="23">
        <v>240</v>
      </c>
      <c r="E31" s="23">
        <v>4</v>
      </c>
      <c r="F31" s="23">
        <v>1</v>
      </c>
      <c r="G31" s="23">
        <v>35.799999999999997</v>
      </c>
      <c r="H31" s="23">
        <f>H30-G31</f>
        <v>93.2</v>
      </c>
      <c r="I31" s="23">
        <f t="shared" si="10"/>
        <v>24.447129314380469</v>
      </c>
      <c r="J31" s="23">
        <v>36.200000000000003</v>
      </c>
      <c r="K31" s="23">
        <f>K30-J31</f>
        <v>90.800000000000011</v>
      </c>
      <c r="L31" s="23">
        <f t="shared" si="11"/>
        <v>24.720281597222712</v>
      </c>
      <c r="M31" s="23">
        <f t="shared" si="12"/>
        <v>24.583705455801592</v>
      </c>
      <c r="N31" s="23">
        <f t="shared" si="13"/>
        <v>0.19314783149433618</v>
      </c>
      <c r="O31" s="23">
        <f t="shared" si="14"/>
        <v>0.81945684852671974</v>
      </c>
      <c r="P31" s="23"/>
      <c r="Q31" s="23"/>
    </row>
    <row r="32" spans="1:17" x14ac:dyDescent="0.2">
      <c r="A32" s="22" t="s">
        <v>0</v>
      </c>
      <c r="B32" s="23">
        <v>30</v>
      </c>
      <c r="C32" s="23" t="s">
        <v>40</v>
      </c>
      <c r="D32" s="23">
        <v>300</v>
      </c>
      <c r="E32" s="23">
        <v>5</v>
      </c>
      <c r="F32" s="23">
        <v>1</v>
      </c>
      <c r="G32" s="23">
        <v>34.5</v>
      </c>
      <c r="H32" s="23">
        <f>H31-G32</f>
        <v>58.7</v>
      </c>
      <c r="I32" s="23">
        <f t="shared" si="10"/>
        <v>23.559384395143194</v>
      </c>
      <c r="J32" s="23">
        <v>34.9</v>
      </c>
      <c r="K32" s="23">
        <f>K31-J32</f>
        <v>55.900000000000013</v>
      </c>
      <c r="L32" s="23">
        <f t="shared" si="11"/>
        <v>23.832536677985431</v>
      </c>
      <c r="M32" s="23">
        <f t="shared" si="12"/>
        <v>23.695960536564314</v>
      </c>
      <c r="N32" s="23">
        <f t="shared" si="13"/>
        <v>0.19314783149433118</v>
      </c>
      <c r="O32" s="23">
        <f t="shared" si="14"/>
        <v>0.78986535121881052</v>
      </c>
      <c r="P32" s="23"/>
      <c r="Q32" s="23"/>
    </row>
    <row r="33" spans="1:17" x14ac:dyDescent="0.2">
      <c r="A33" s="24" t="s">
        <v>0</v>
      </c>
      <c r="B33" s="25">
        <v>0</v>
      </c>
      <c r="C33" s="25" t="s">
        <v>47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</row>
    <row r="34" spans="1:17" x14ac:dyDescent="0.2">
      <c r="A34" s="26" t="s">
        <v>0</v>
      </c>
      <c r="B34" s="27">
        <v>30</v>
      </c>
      <c r="C34" s="27" t="s">
        <v>46</v>
      </c>
      <c r="D34" s="27">
        <v>60</v>
      </c>
      <c r="E34" s="27">
        <v>1</v>
      </c>
      <c r="F34" s="27">
        <v>1</v>
      </c>
      <c r="G34" s="27">
        <v>47.3</v>
      </c>
      <c r="H34" s="27">
        <f>$B$3-G34</f>
        <v>202.7</v>
      </c>
      <c r="I34" s="27">
        <f>(G34/1000)/($B$2*F34)</f>
        <v>32.300257446094868</v>
      </c>
      <c r="J34" s="27">
        <v>47.9</v>
      </c>
      <c r="K34" s="27">
        <f>$B$3-J34</f>
        <v>202.1</v>
      </c>
      <c r="L34" s="27">
        <f>(J34/1000)/($B$2*F34)</f>
        <v>32.709985870358224</v>
      </c>
      <c r="M34" s="27">
        <f>AVERAGE(I34,L34)</f>
        <v>32.505121658226543</v>
      </c>
      <c r="N34" s="27">
        <f>STDEV(I34,L34)</f>
        <v>0.28972174724149802</v>
      </c>
      <c r="O34" s="27">
        <f>M34/B34</f>
        <v>1.0835040552742181</v>
      </c>
      <c r="P34" s="27"/>
      <c r="Q34" s="27"/>
    </row>
    <row r="35" spans="1:17" x14ac:dyDescent="0.2">
      <c r="A35" s="26" t="s">
        <v>0</v>
      </c>
      <c r="B35" s="27">
        <v>30</v>
      </c>
      <c r="C35" s="27" t="s">
        <v>46</v>
      </c>
      <c r="D35" s="27">
        <v>120</v>
      </c>
      <c r="E35" s="27">
        <v>2</v>
      </c>
      <c r="F35" s="27">
        <v>1</v>
      </c>
      <c r="G35" s="27">
        <v>46.6</v>
      </c>
      <c r="H35" s="27">
        <f>H34-G35</f>
        <v>156.1</v>
      </c>
      <c r="I35" s="27">
        <f>(G35/1000)/($B$2*F35)</f>
        <v>31.82224095112095</v>
      </c>
      <c r="J35" s="27">
        <v>46.6</v>
      </c>
      <c r="K35" s="27">
        <f>K34-J35</f>
        <v>155.5</v>
      </c>
      <c r="L35" s="27">
        <f>(J35/1000)/($B$2*F35)</f>
        <v>31.82224095112095</v>
      </c>
      <c r="M35" s="27">
        <f>AVERAGE(I35,L35)</f>
        <v>31.82224095112095</v>
      </c>
      <c r="N35" s="27">
        <f>STDEV(I35,L35)</f>
        <v>0</v>
      </c>
      <c r="O35" s="27">
        <f>M35/B35</f>
        <v>1.0607413650373649</v>
      </c>
      <c r="P35" s="27">
        <f>AVERAGE(I35/I27*100,L35/L27*100)</f>
        <v>96.987456035483461</v>
      </c>
      <c r="Q35" s="27">
        <f>STDEV(I35/I27*100,L35/L27*100)</f>
        <v>0.99909139431644811</v>
      </c>
    </row>
    <row r="37" spans="1:17" x14ac:dyDescent="0.2">
      <c r="A37" s="37" t="s">
        <v>41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</row>
    <row r="38" spans="1:17" ht="34" x14ac:dyDescent="0.2">
      <c r="A38" s="10" t="s">
        <v>19</v>
      </c>
      <c r="B38" s="10" t="s">
        <v>26</v>
      </c>
      <c r="C38" s="10" t="s">
        <v>27</v>
      </c>
      <c r="D38" s="10" t="s">
        <v>28</v>
      </c>
      <c r="E38" s="10" t="s">
        <v>4</v>
      </c>
      <c r="F38" s="10" t="s">
        <v>29</v>
      </c>
      <c r="G38" s="10" t="s">
        <v>30</v>
      </c>
      <c r="H38" s="10" t="s">
        <v>31</v>
      </c>
      <c r="I38" s="10" t="s">
        <v>32</v>
      </c>
      <c r="J38" s="10" t="s">
        <v>33</v>
      </c>
      <c r="K38" s="10" t="s">
        <v>34</v>
      </c>
      <c r="L38" s="10" t="s">
        <v>35</v>
      </c>
      <c r="M38" s="10" t="s">
        <v>36</v>
      </c>
      <c r="N38" s="10" t="s">
        <v>37</v>
      </c>
      <c r="O38" s="10" t="s">
        <v>38</v>
      </c>
      <c r="P38" s="10" t="s">
        <v>43</v>
      </c>
      <c r="Q38" s="10" t="s">
        <v>44</v>
      </c>
    </row>
    <row r="39" spans="1:17" x14ac:dyDescent="0.2">
      <c r="A39" s="20" t="s">
        <v>5</v>
      </c>
      <c r="B39" s="21">
        <v>12</v>
      </c>
      <c r="C39" s="21" t="s">
        <v>39</v>
      </c>
      <c r="D39" s="21">
        <v>300</v>
      </c>
      <c r="E39" s="21">
        <v>5</v>
      </c>
      <c r="F39" s="21">
        <v>1</v>
      </c>
      <c r="G39" s="21">
        <v>48</v>
      </c>
      <c r="H39" s="21"/>
      <c r="I39" s="21">
        <f t="shared" ref="I39:I44" si="15">(G39/1000)/($B$2*F39)</f>
        <v>32.77827394106879</v>
      </c>
      <c r="J39" s="21">
        <v>48.6</v>
      </c>
      <c r="K39" s="21"/>
      <c r="L39" s="21">
        <f t="shared" ref="L39:L44" si="16">(J39/1000)/($B$2*F39)</f>
        <v>33.188002365332153</v>
      </c>
      <c r="M39" s="21">
        <f t="shared" ref="M39:M44" si="17">AVERAGE(I39,L39)</f>
        <v>32.983138153200471</v>
      </c>
      <c r="N39" s="21">
        <f t="shared" ref="N39:N44" si="18">STDEV(I39,L39)</f>
        <v>0.28972174724150301</v>
      </c>
      <c r="O39" s="21">
        <f t="shared" ref="O39:O44" si="19">M39/B39</f>
        <v>2.7485948461000391</v>
      </c>
      <c r="P39" s="21"/>
      <c r="Q39" s="21"/>
    </row>
    <row r="40" spans="1:17" x14ac:dyDescent="0.2">
      <c r="A40" s="22" t="s">
        <v>5</v>
      </c>
      <c r="B40" s="23">
        <v>12</v>
      </c>
      <c r="C40" s="23" t="s">
        <v>42</v>
      </c>
      <c r="D40" s="23">
        <v>60</v>
      </c>
      <c r="E40" s="23">
        <v>1</v>
      </c>
      <c r="F40" s="23">
        <v>1</v>
      </c>
      <c r="G40" s="23">
        <v>42.2</v>
      </c>
      <c r="H40" s="23">
        <f>$B$3-G40</f>
        <v>207.8</v>
      </c>
      <c r="I40" s="23">
        <f t="shared" si="15"/>
        <v>28.817565839856311</v>
      </c>
      <c r="J40" s="23">
        <v>42.7</v>
      </c>
      <c r="K40" s="23">
        <f>$B$3-J40</f>
        <v>207.3</v>
      </c>
      <c r="L40" s="23">
        <f t="shared" si="16"/>
        <v>29.159006193409112</v>
      </c>
      <c r="M40" s="23">
        <f t="shared" si="17"/>
        <v>28.988286016632713</v>
      </c>
      <c r="N40" s="23">
        <f t="shared" si="18"/>
        <v>0.24143478936791835</v>
      </c>
      <c r="O40" s="23">
        <f t="shared" si="19"/>
        <v>2.4156905013860595</v>
      </c>
      <c r="P40" s="23"/>
      <c r="Q40" s="23"/>
    </row>
    <row r="41" spans="1:17" x14ac:dyDescent="0.2">
      <c r="A41" s="22" t="s">
        <v>5</v>
      </c>
      <c r="B41" s="23">
        <v>12</v>
      </c>
      <c r="C41" s="23" t="s">
        <v>42</v>
      </c>
      <c r="D41" s="23">
        <v>120</v>
      </c>
      <c r="E41" s="23">
        <v>2</v>
      </c>
      <c r="F41" s="23">
        <v>1</v>
      </c>
      <c r="G41" s="23">
        <v>33.4</v>
      </c>
      <c r="H41" s="23">
        <f>H40-G41</f>
        <v>174.4</v>
      </c>
      <c r="I41" s="23">
        <f t="shared" si="15"/>
        <v>22.808215617327033</v>
      </c>
      <c r="J41" s="23">
        <v>34.799999999999997</v>
      </c>
      <c r="K41" s="23">
        <f>K40-J41</f>
        <v>172.5</v>
      </c>
      <c r="L41" s="23">
        <f t="shared" si="16"/>
        <v>23.764248607274869</v>
      </c>
      <c r="M41" s="23">
        <f t="shared" si="17"/>
        <v>23.286232112300951</v>
      </c>
      <c r="N41" s="23">
        <f t="shared" si="18"/>
        <v>0.67601741023016537</v>
      </c>
      <c r="O41" s="23">
        <f t="shared" si="19"/>
        <v>1.940519342691746</v>
      </c>
      <c r="P41" s="23"/>
      <c r="Q41" s="23"/>
    </row>
    <row r="42" spans="1:17" x14ac:dyDescent="0.2">
      <c r="A42" s="22" t="s">
        <v>5</v>
      </c>
      <c r="B42" s="23">
        <v>12</v>
      </c>
      <c r="C42" s="23" t="s">
        <v>42</v>
      </c>
      <c r="D42" s="23">
        <v>180</v>
      </c>
      <c r="E42" s="23">
        <v>3</v>
      </c>
      <c r="F42" s="23">
        <v>1</v>
      </c>
      <c r="G42" s="23">
        <v>30.2</v>
      </c>
      <c r="H42" s="23">
        <f>H41-G42</f>
        <v>144.20000000000002</v>
      </c>
      <c r="I42" s="23">
        <f t="shared" si="15"/>
        <v>20.62299735458911</v>
      </c>
      <c r="J42" s="23">
        <v>31.3</v>
      </c>
      <c r="K42" s="23">
        <f>K41-J42</f>
        <v>141.19999999999999</v>
      </c>
      <c r="L42" s="23">
        <f t="shared" si="16"/>
        <v>21.374166132405275</v>
      </c>
      <c r="M42" s="23">
        <f t="shared" si="17"/>
        <v>20.998581743497191</v>
      </c>
      <c r="N42" s="23">
        <f t="shared" si="18"/>
        <v>0.53115653660942141</v>
      </c>
      <c r="O42" s="23">
        <f t="shared" si="19"/>
        <v>1.7498818119580992</v>
      </c>
      <c r="P42" s="23"/>
      <c r="Q42" s="23"/>
    </row>
    <row r="43" spans="1:17" x14ac:dyDescent="0.2">
      <c r="A43" s="22" t="s">
        <v>5</v>
      </c>
      <c r="B43" s="23">
        <v>12</v>
      </c>
      <c r="C43" s="23" t="s">
        <v>42</v>
      </c>
      <c r="D43" s="23">
        <v>240</v>
      </c>
      <c r="E43" s="23">
        <v>4</v>
      </c>
      <c r="F43" s="23">
        <v>1</v>
      </c>
      <c r="G43" s="23">
        <v>22.9</v>
      </c>
      <c r="H43" s="23">
        <f>H42-G43</f>
        <v>121.30000000000001</v>
      </c>
      <c r="I43" s="23">
        <f t="shared" si="15"/>
        <v>15.637968192718235</v>
      </c>
      <c r="J43" s="23">
        <v>24.3</v>
      </c>
      <c r="K43" s="23">
        <f>K42-J43</f>
        <v>116.89999999999999</v>
      </c>
      <c r="L43" s="23">
        <f t="shared" si="16"/>
        <v>16.594001182666076</v>
      </c>
      <c r="M43" s="23">
        <f t="shared" si="17"/>
        <v>16.115984687692155</v>
      </c>
      <c r="N43" s="23">
        <f t="shared" si="18"/>
        <v>0.67601741023016915</v>
      </c>
      <c r="O43" s="23">
        <f t="shared" si="19"/>
        <v>1.3429987239743462</v>
      </c>
      <c r="P43" s="23"/>
      <c r="Q43" s="23"/>
    </row>
    <row r="44" spans="1:17" x14ac:dyDescent="0.2">
      <c r="A44" s="22" t="s">
        <v>5</v>
      </c>
      <c r="B44" s="23">
        <v>12</v>
      </c>
      <c r="C44" s="23" t="s">
        <v>42</v>
      </c>
      <c r="D44" s="23">
        <v>300</v>
      </c>
      <c r="E44" s="23">
        <v>5</v>
      </c>
      <c r="F44" s="23">
        <v>1</v>
      </c>
      <c r="G44" s="23">
        <v>19.8</v>
      </c>
      <c r="H44" s="23">
        <f>H43-G44</f>
        <v>101.50000000000001</v>
      </c>
      <c r="I44" s="23">
        <f t="shared" si="15"/>
        <v>13.521038000690876</v>
      </c>
      <c r="J44" s="23">
        <v>20.9</v>
      </c>
      <c r="K44" s="23">
        <f>K43-J44</f>
        <v>96</v>
      </c>
      <c r="L44" s="23">
        <f t="shared" si="16"/>
        <v>14.272206778507034</v>
      </c>
      <c r="M44" s="23">
        <f t="shared" si="17"/>
        <v>13.896622389598955</v>
      </c>
      <c r="N44" s="23">
        <f t="shared" si="18"/>
        <v>0.53115653660941631</v>
      </c>
      <c r="O44" s="23">
        <f t="shared" si="19"/>
        <v>1.1580518657999128</v>
      </c>
      <c r="P44" s="23"/>
      <c r="Q44" s="23"/>
    </row>
    <row r="45" spans="1:17" x14ac:dyDescent="0.2">
      <c r="A45" s="24" t="s">
        <v>5</v>
      </c>
      <c r="B45" s="25">
        <v>0</v>
      </c>
      <c r="C45" s="25" t="s">
        <v>47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</row>
    <row r="46" spans="1:17" x14ac:dyDescent="0.2">
      <c r="A46" s="26" t="s">
        <v>5</v>
      </c>
      <c r="B46" s="27">
        <v>12</v>
      </c>
      <c r="C46" s="27" t="s">
        <v>46</v>
      </c>
      <c r="D46" s="27">
        <v>60</v>
      </c>
      <c r="E46" s="27">
        <v>1</v>
      </c>
      <c r="F46" s="27">
        <v>1</v>
      </c>
      <c r="G46" s="27">
        <v>31.6</v>
      </c>
      <c r="H46" s="27">
        <f>$B$3-G46</f>
        <v>218.4</v>
      </c>
      <c r="I46" s="27">
        <f t="shared" ref="I46:I53" si="20">(G46/1000)/($B$2*F46)</f>
        <v>21.579030344536953</v>
      </c>
      <c r="J46" s="27">
        <v>32.200000000000003</v>
      </c>
      <c r="K46" s="27">
        <f>$B$3-J46</f>
        <v>217.8</v>
      </c>
      <c r="L46" s="27">
        <f t="shared" ref="L46:L53" si="21">(J46/1000)/($B$2*F46)</f>
        <v>21.988758768800313</v>
      </c>
      <c r="M46" s="27">
        <f t="shared" ref="M46:M53" si="22">AVERAGE(I46,L46)</f>
        <v>21.783894556668635</v>
      </c>
      <c r="N46" s="27">
        <f t="shared" ref="N46:N53" si="23">STDEV(I46,L46)</f>
        <v>0.28972174724150052</v>
      </c>
      <c r="O46" s="27">
        <f t="shared" ref="O46:O53" si="24">M46/B46</f>
        <v>1.8153245463890528</v>
      </c>
      <c r="P46" s="27"/>
      <c r="Q46" s="27"/>
    </row>
    <row r="47" spans="1:17" x14ac:dyDescent="0.2">
      <c r="A47" s="26" t="s">
        <v>5</v>
      </c>
      <c r="B47" s="27">
        <v>12</v>
      </c>
      <c r="C47" s="27" t="s">
        <v>46</v>
      </c>
      <c r="D47" s="27">
        <v>120</v>
      </c>
      <c r="E47" s="27">
        <v>2</v>
      </c>
      <c r="F47" s="27">
        <v>1</v>
      </c>
      <c r="G47" s="27">
        <v>31.1</v>
      </c>
      <c r="H47" s="27">
        <f>H46-G47</f>
        <v>187.3</v>
      </c>
      <c r="I47" s="27">
        <f t="shared" si="20"/>
        <v>21.237589990984155</v>
      </c>
      <c r="J47" s="27">
        <v>30.7</v>
      </c>
      <c r="K47" s="27">
        <f>K46-J47</f>
        <v>187.10000000000002</v>
      </c>
      <c r="L47" s="27">
        <f t="shared" si="21"/>
        <v>20.964437708141912</v>
      </c>
      <c r="M47" s="27">
        <f t="shared" si="22"/>
        <v>21.101013849563031</v>
      </c>
      <c r="N47" s="27">
        <f t="shared" si="23"/>
        <v>0.19314783149433618</v>
      </c>
      <c r="O47" s="27">
        <f t="shared" si="24"/>
        <v>1.7584178207969192</v>
      </c>
      <c r="P47" s="27">
        <f>AVERAGE(I47/I39*100,L47/L39*100)</f>
        <v>63.980195473251023</v>
      </c>
      <c r="Q47" s="27">
        <f>STDEV(I47/I39*100,L47/L39*100)</f>
        <v>1.1475935672034916</v>
      </c>
    </row>
    <row r="48" spans="1:17" x14ac:dyDescent="0.2">
      <c r="A48" s="20" t="s">
        <v>1</v>
      </c>
      <c r="B48" s="21">
        <v>30</v>
      </c>
      <c r="C48" s="21" t="s">
        <v>39</v>
      </c>
      <c r="D48" s="21">
        <v>300</v>
      </c>
      <c r="E48" s="21">
        <v>5</v>
      </c>
      <c r="F48" s="21">
        <v>1</v>
      </c>
      <c r="G48" s="21">
        <v>47.8</v>
      </c>
      <c r="H48" s="21"/>
      <c r="I48" s="21">
        <f t="shared" si="20"/>
        <v>32.641697799647666</v>
      </c>
      <c r="J48" s="21">
        <v>48.3</v>
      </c>
      <c r="K48" s="21"/>
      <c r="L48" s="21">
        <f t="shared" si="21"/>
        <v>32.983138153200464</v>
      </c>
      <c r="M48" s="21">
        <f t="shared" si="22"/>
        <v>32.812417976424065</v>
      </c>
      <c r="N48" s="21">
        <f t="shared" si="23"/>
        <v>0.24143478936791585</v>
      </c>
      <c r="O48" s="21">
        <f t="shared" si="24"/>
        <v>1.0937472658808021</v>
      </c>
      <c r="P48" s="21"/>
      <c r="Q48" s="21"/>
    </row>
    <row r="49" spans="1:17" x14ac:dyDescent="0.2">
      <c r="A49" s="22" t="s">
        <v>1</v>
      </c>
      <c r="B49" s="23">
        <v>30</v>
      </c>
      <c r="C49" s="23" t="s">
        <v>42</v>
      </c>
      <c r="D49" s="23">
        <v>60</v>
      </c>
      <c r="E49" s="23">
        <v>1</v>
      </c>
      <c r="F49" s="23">
        <v>1</v>
      </c>
      <c r="G49" s="23">
        <v>41.8</v>
      </c>
      <c r="H49" s="23">
        <f>$B$3-G49</f>
        <v>208.2</v>
      </c>
      <c r="I49" s="23">
        <f t="shared" si="20"/>
        <v>28.544413557014067</v>
      </c>
      <c r="J49" s="23">
        <v>42.3</v>
      </c>
      <c r="K49" s="23">
        <f>$B$3-J49</f>
        <v>207.7</v>
      </c>
      <c r="L49" s="23">
        <f t="shared" si="21"/>
        <v>28.885853910566869</v>
      </c>
      <c r="M49" s="23">
        <f t="shared" si="22"/>
        <v>28.715133733790466</v>
      </c>
      <c r="N49" s="23">
        <f t="shared" si="23"/>
        <v>0.24143478936791835</v>
      </c>
      <c r="O49" s="23">
        <f t="shared" si="24"/>
        <v>0.95717112445968222</v>
      </c>
      <c r="P49" s="23"/>
      <c r="Q49" s="23"/>
    </row>
    <row r="50" spans="1:17" x14ac:dyDescent="0.2">
      <c r="A50" s="22" t="s">
        <v>1</v>
      </c>
      <c r="B50" s="23">
        <v>30</v>
      </c>
      <c r="C50" s="23" t="s">
        <v>42</v>
      </c>
      <c r="D50" s="23">
        <v>120</v>
      </c>
      <c r="E50" s="23">
        <v>2</v>
      </c>
      <c r="F50" s="23">
        <v>1</v>
      </c>
      <c r="G50" s="23">
        <v>37.9</v>
      </c>
      <c r="H50" s="23">
        <f>H49-G50</f>
        <v>170.29999999999998</v>
      </c>
      <c r="I50" s="23">
        <f t="shared" si="20"/>
        <v>25.881178799302226</v>
      </c>
      <c r="J50" s="23">
        <v>39.4</v>
      </c>
      <c r="K50" s="23">
        <f>K49-J50</f>
        <v>168.29999999999998</v>
      </c>
      <c r="L50" s="23">
        <f t="shared" si="21"/>
        <v>26.905499859960628</v>
      </c>
      <c r="M50" s="23">
        <f t="shared" si="22"/>
        <v>26.393339329631427</v>
      </c>
      <c r="N50" s="23">
        <f t="shared" si="23"/>
        <v>0.72430436810375254</v>
      </c>
      <c r="O50" s="23">
        <f t="shared" si="24"/>
        <v>0.87977797765438093</v>
      </c>
      <c r="P50" s="23"/>
      <c r="Q50" s="23"/>
    </row>
    <row r="51" spans="1:17" x14ac:dyDescent="0.2">
      <c r="A51" s="22" t="s">
        <v>1</v>
      </c>
      <c r="B51" s="23">
        <v>30</v>
      </c>
      <c r="C51" s="23" t="s">
        <v>42</v>
      </c>
      <c r="D51" s="23">
        <v>180</v>
      </c>
      <c r="E51" s="23">
        <v>3</v>
      </c>
      <c r="F51" s="23">
        <v>1</v>
      </c>
      <c r="G51" s="23">
        <v>34.299999999999997</v>
      </c>
      <c r="H51" s="23">
        <f>H50-G51</f>
        <v>136</v>
      </c>
      <c r="I51" s="23">
        <f t="shared" si="20"/>
        <v>23.422808253722071</v>
      </c>
      <c r="J51" s="23">
        <v>34.799999999999997</v>
      </c>
      <c r="K51" s="23">
        <f>K50-J51</f>
        <v>133.5</v>
      </c>
      <c r="L51" s="23">
        <f t="shared" si="21"/>
        <v>23.764248607274869</v>
      </c>
      <c r="M51" s="23">
        <f t="shared" si="22"/>
        <v>23.59352843049847</v>
      </c>
      <c r="N51" s="23">
        <f t="shared" si="23"/>
        <v>0.24143478936791585</v>
      </c>
      <c r="O51" s="23">
        <f t="shared" si="24"/>
        <v>0.78645094768328228</v>
      </c>
      <c r="P51" s="23"/>
      <c r="Q51" s="23"/>
    </row>
    <row r="52" spans="1:17" x14ac:dyDescent="0.2">
      <c r="A52" s="22" t="s">
        <v>1</v>
      </c>
      <c r="B52" s="23">
        <v>30</v>
      </c>
      <c r="C52" s="23" t="s">
        <v>42</v>
      </c>
      <c r="D52" s="23">
        <v>240</v>
      </c>
      <c r="E52" s="23">
        <v>4</v>
      </c>
      <c r="F52" s="23">
        <v>1</v>
      </c>
      <c r="G52" s="23">
        <v>32.1</v>
      </c>
      <c r="H52" s="23">
        <f>H51-G52</f>
        <v>103.9</v>
      </c>
      <c r="I52" s="23">
        <f t="shared" si="20"/>
        <v>21.920470698089755</v>
      </c>
      <c r="J52" s="23">
        <v>33.200000000000003</v>
      </c>
      <c r="K52" s="23">
        <f>K51-J52</f>
        <v>100.3</v>
      </c>
      <c r="L52" s="23">
        <f t="shared" si="21"/>
        <v>22.671639475905913</v>
      </c>
      <c r="M52" s="23">
        <f t="shared" si="22"/>
        <v>22.296055086997832</v>
      </c>
      <c r="N52" s="23">
        <f t="shared" si="23"/>
        <v>0.53115653660941631</v>
      </c>
      <c r="O52" s="23">
        <f t="shared" si="24"/>
        <v>0.74320183623326108</v>
      </c>
      <c r="P52" s="23"/>
      <c r="Q52" s="23"/>
    </row>
    <row r="53" spans="1:17" x14ac:dyDescent="0.2">
      <c r="A53" s="22" t="s">
        <v>1</v>
      </c>
      <c r="B53" s="23">
        <v>30</v>
      </c>
      <c r="C53" s="23" t="s">
        <v>42</v>
      </c>
      <c r="D53" s="23">
        <v>300</v>
      </c>
      <c r="E53" s="23">
        <v>5</v>
      </c>
      <c r="F53" s="23">
        <v>1</v>
      </c>
      <c r="G53" s="23">
        <v>30.5</v>
      </c>
      <c r="H53" s="23">
        <f>H52-G53</f>
        <v>73.400000000000006</v>
      </c>
      <c r="I53" s="23">
        <f t="shared" si="20"/>
        <v>20.827861566720792</v>
      </c>
      <c r="J53" s="23">
        <v>31</v>
      </c>
      <c r="K53" s="23">
        <f>K52-J53</f>
        <v>69.3</v>
      </c>
      <c r="L53" s="23">
        <f t="shared" si="21"/>
        <v>21.169301920273593</v>
      </c>
      <c r="M53" s="23">
        <f t="shared" si="22"/>
        <v>20.998581743497191</v>
      </c>
      <c r="N53" s="23">
        <f t="shared" si="23"/>
        <v>0.24143478936791835</v>
      </c>
      <c r="O53" s="23">
        <f t="shared" si="24"/>
        <v>0.69995272478323967</v>
      </c>
      <c r="P53" s="23"/>
      <c r="Q53" s="23"/>
    </row>
    <row r="54" spans="1:17" x14ac:dyDescent="0.2">
      <c r="A54" s="24" t="s">
        <v>1</v>
      </c>
      <c r="B54" s="25">
        <v>0</v>
      </c>
      <c r="C54" s="25" t="s">
        <v>47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</row>
    <row r="55" spans="1:17" x14ac:dyDescent="0.2">
      <c r="A55" s="26" t="s">
        <v>1</v>
      </c>
      <c r="B55" s="27">
        <v>30</v>
      </c>
      <c r="C55" s="27" t="s">
        <v>46</v>
      </c>
      <c r="D55" s="27">
        <v>60</v>
      </c>
      <c r="E55" s="27">
        <v>1</v>
      </c>
      <c r="F55" s="27">
        <v>1</v>
      </c>
      <c r="G55" s="27">
        <v>43</v>
      </c>
      <c r="H55" s="27">
        <f>$B$3-G55</f>
        <v>207</v>
      </c>
      <c r="I55" s="27">
        <f t="shared" ref="I55:I62" si="25">(G55/1000)/($B$2*F55)</f>
        <v>29.363870405540787</v>
      </c>
      <c r="J55" s="27">
        <v>43.6</v>
      </c>
      <c r="K55" s="27">
        <f>$B$3-J55</f>
        <v>206.4</v>
      </c>
      <c r="L55" s="27">
        <f t="shared" ref="L55:L62" si="26">(J55/1000)/($B$2*F55)</f>
        <v>29.773598829804151</v>
      </c>
      <c r="M55" s="27">
        <f t="shared" ref="M55:M62" si="27">AVERAGE(I55,L55)</f>
        <v>29.568734617672469</v>
      </c>
      <c r="N55" s="27">
        <f t="shared" ref="N55:N62" si="28">STDEV(I55,L55)</f>
        <v>0.28972174724150301</v>
      </c>
      <c r="O55" s="27">
        <f t="shared" ref="O55:O62" si="29">M55/B55</f>
        <v>0.98562448725574892</v>
      </c>
      <c r="P55" s="27"/>
      <c r="Q55" s="27"/>
    </row>
    <row r="56" spans="1:17" x14ac:dyDescent="0.2">
      <c r="A56" s="26" t="s">
        <v>1</v>
      </c>
      <c r="B56" s="27">
        <v>30</v>
      </c>
      <c r="C56" s="27" t="s">
        <v>46</v>
      </c>
      <c r="D56" s="27">
        <v>120</v>
      </c>
      <c r="E56" s="27">
        <v>2</v>
      </c>
      <c r="F56" s="27">
        <v>1</v>
      </c>
      <c r="G56" s="27">
        <v>41.7</v>
      </c>
      <c r="H56" s="27">
        <f>H55-G56</f>
        <v>165.3</v>
      </c>
      <c r="I56" s="27">
        <f t="shared" si="25"/>
        <v>28.476125486303509</v>
      </c>
      <c r="J56" s="27">
        <v>42.9</v>
      </c>
      <c r="K56" s="27">
        <f>K55-J56</f>
        <v>163.5</v>
      </c>
      <c r="L56" s="27">
        <f t="shared" si="26"/>
        <v>29.295582334830229</v>
      </c>
      <c r="M56" s="27">
        <f t="shared" si="27"/>
        <v>28.885853910566869</v>
      </c>
      <c r="N56" s="27">
        <f t="shared" si="28"/>
        <v>0.57944349448300103</v>
      </c>
      <c r="O56" s="27">
        <f t="shared" si="29"/>
        <v>0.96286179701889563</v>
      </c>
      <c r="P56" s="27">
        <f>AVERAGE(I56/I48*100,L56/L48*100)</f>
        <v>88.029184750123449</v>
      </c>
      <c r="Q56" s="27">
        <f>STDEV(I56/I48*100,L56/L48*100)</f>
        <v>1.1182059730034983</v>
      </c>
    </row>
    <row r="57" spans="1:17" x14ac:dyDescent="0.2">
      <c r="A57" s="20" t="s">
        <v>0</v>
      </c>
      <c r="B57" s="21">
        <v>30</v>
      </c>
      <c r="C57" s="21" t="s">
        <v>39</v>
      </c>
      <c r="D57" s="21">
        <v>300</v>
      </c>
      <c r="E57" s="21">
        <v>5</v>
      </c>
      <c r="F57" s="21">
        <v>1</v>
      </c>
      <c r="G57" s="21">
        <v>48</v>
      </c>
      <c r="H57" s="21"/>
      <c r="I57" s="21">
        <f t="shared" si="25"/>
        <v>32.77827394106879</v>
      </c>
      <c r="J57" s="21">
        <v>48.6</v>
      </c>
      <c r="K57" s="21"/>
      <c r="L57" s="21">
        <f t="shared" si="26"/>
        <v>33.188002365332153</v>
      </c>
      <c r="M57" s="21">
        <f t="shared" si="27"/>
        <v>32.983138153200471</v>
      </c>
      <c r="N57" s="21">
        <f t="shared" si="28"/>
        <v>0.28972174724150301</v>
      </c>
      <c r="O57" s="21">
        <f t="shared" si="29"/>
        <v>1.0994379384400157</v>
      </c>
      <c r="P57" s="21"/>
      <c r="Q57" s="21"/>
    </row>
    <row r="58" spans="1:17" x14ac:dyDescent="0.2">
      <c r="A58" s="22" t="s">
        <v>0</v>
      </c>
      <c r="B58" s="23">
        <v>30</v>
      </c>
      <c r="C58" s="23" t="s">
        <v>42</v>
      </c>
      <c r="D58" s="23">
        <v>60</v>
      </c>
      <c r="E58" s="23">
        <v>1</v>
      </c>
      <c r="F58" s="23">
        <v>1</v>
      </c>
      <c r="G58" s="23">
        <v>43.7</v>
      </c>
      <c r="H58" s="23">
        <f>$B$3-G58</f>
        <v>206.3</v>
      </c>
      <c r="I58" s="23">
        <f t="shared" si="25"/>
        <v>29.841886900514712</v>
      </c>
      <c r="J58" s="23">
        <v>44.2</v>
      </c>
      <c r="K58" s="23">
        <f>$B$3-J58</f>
        <v>205.8</v>
      </c>
      <c r="L58" s="23">
        <f t="shared" si="26"/>
        <v>30.18332725406751</v>
      </c>
      <c r="M58" s="23">
        <f t="shared" si="27"/>
        <v>30.012607077291111</v>
      </c>
      <c r="N58" s="23">
        <f t="shared" si="28"/>
        <v>0.24143478936791585</v>
      </c>
      <c r="O58" s="23">
        <f t="shared" si="29"/>
        <v>1.0004202359097036</v>
      </c>
      <c r="P58" s="23"/>
      <c r="Q58" s="23"/>
    </row>
    <row r="59" spans="1:17" x14ac:dyDescent="0.2">
      <c r="A59" s="22" t="s">
        <v>0</v>
      </c>
      <c r="B59" s="23">
        <v>30</v>
      </c>
      <c r="C59" s="23" t="s">
        <v>42</v>
      </c>
      <c r="D59" s="23">
        <v>120</v>
      </c>
      <c r="E59" s="23">
        <v>2</v>
      </c>
      <c r="F59" s="23">
        <v>1</v>
      </c>
      <c r="G59" s="23">
        <v>42.2</v>
      </c>
      <c r="H59" s="23">
        <f>H58-G59</f>
        <v>164.10000000000002</v>
      </c>
      <c r="I59" s="23">
        <f t="shared" si="25"/>
        <v>28.817565839856311</v>
      </c>
      <c r="J59" s="23">
        <v>42.7</v>
      </c>
      <c r="K59" s="23">
        <f>K58-J59</f>
        <v>163.10000000000002</v>
      </c>
      <c r="L59" s="23">
        <f t="shared" si="26"/>
        <v>29.159006193409112</v>
      </c>
      <c r="M59" s="23">
        <f t="shared" si="27"/>
        <v>28.988286016632713</v>
      </c>
      <c r="N59" s="23">
        <f t="shared" si="28"/>
        <v>0.24143478936791835</v>
      </c>
      <c r="O59" s="23">
        <f t="shared" si="29"/>
        <v>0.96627620055442376</v>
      </c>
      <c r="P59" s="23"/>
      <c r="Q59" s="23"/>
    </row>
    <row r="60" spans="1:17" x14ac:dyDescent="0.2">
      <c r="A60" s="22" t="s">
        <v>0</v>
      </c>
      <c r="B60" s="23">
        <v>30</v>
      </c>
      <c r="C60" s="23" t="s">
        <v>42</v>
      </c>
      <c r="D60" s="23">
        <v>180</v>
      </c>
      <c r="E60" s="23">
        <v>3</v>
      </c>
      <c r="F60" s="23">
        <v>1</v>
      </c>
      <c r="G60" s="23">
        <v>38.6</v>
      </c>
      <c r="H60" s="23">
        <f>H59-G60</f>
        <v>125.50000000000003</v>
      </c>
      <c r="I60" s="23">
        <f t="shared" si="25"/>
        <v>26.359195294276152</v>
      </c>
      <c r="J60" s="23">
        <v>39</v>
      </c>
      <c r="K60" s="23">
        <f>K59-J60</f>
        <v>124.10000000000002</v>
      </c>
      <c r="L60" s="23">
        <f t="shared" si="26"/>
        <v>26.632347577118392</v>
      </c>
      <c r="M60" s="23">
        <f t="shared" si="27"/>
        <v>26.495771435697272</v>
      </c>
      <c r="N60" s="23">
        <f t="shared" si="28"/>
        <v>0.19314783149433368</v>
      </c>
      <c r="O60" s="23">
        <f t="shared" si="29"/>
        <v>0.88319238118990906</v>
      </c>
      <c r="P60" s="23"/>
      <c r="Q60" s="23"/>
    </row>
    <row r="61" spans="1:17" x14ac:dyDescent="0.2">
      <c r="A61" s="22" t="s">
        <v>0</v>
      </c>
      <c r="B61" s="23">
        <v>30</v>
      </c>
      <c r="C61" s="23" t="s">
        <v>42</v>
      </c>
      <c r="D61" s="23">
        <v>240</v>
      </c>
      <c r="E61" s="23">
        <v>4</v>
      </c>
      <c r="F61" s="23">
        <v>1</v>
      </c>
      <c r="G61" s="23">
        <v>35.1</v>
      </c>
      <c r="H61" s="23">
        <f>H60-G61</f>
        <v>90.400000000000034</v>
      </c>
      <c r="I61" s="23">
        <f t="shared" si="25"/>
        <v>23.969112819406551</v>
      </c>
      <c r="J61" s="23">
        <v>36.4</v>
      </c>
      <c r="K61" s="23">
        <f>K60-J61</f>
        <v>87.700000000000017</v>
      </c>
      <c r="L61" s="23">
        <f t="shared" si="26"/>
        <v>24.856857738643832</v>
      </c>
      <c r="M61" s="23">
        <f t="shared" si="27"/>
        <v>24.412985279025193</v>
      </c>
      <c r="N61" s="23">
        <f t="shared" si="28"/>
        <v>0.62773045235658564</v>
      </c>
      <c r="O61" s="23">
        <f t="shared" si="29"/>
        <v>0.81376617596750644</v>
      </c>
      <c r="P61" s="23"/>
      <c r="Q61" s="23"/>
    </row>
    <row r="62" spans="1:17" x14ac:dyDescent="0.2">
      <c r="A62" s="22" t="s">
        <v>0</v>
      </c>
      <c r="B62" s="23">
        <v>30</v>
      </c>
      <c r="C62" s="23" t="s">
        <v>42</v>
      </c>
      <c r="D62" s="23">
        <v>300</v>
      </c>
      <c r="E62" s="23">
        <v>5</v>
      </c>
      <c r="F62" s="23">
        <v>1</v>
      </c>
      <c r="G62" s="23">
        <v>34.5</v>
      </c>
      <c r="H62" s="23">
        <f>H61-G62</f>
        <v>55.900000000000034</v>
      </c>
      <c r="I62" s="23">
        <f t="shared" si="25"/>
        <v>23.559384395143194</v>
      </c>
      <c r="J62" s="23">
        <v>34.9</v>
      </c>
      <c r="K62" s="23">
        <f>K61-J62</f>
        <v>52.800000000000018</v>
      </c>
      <c r="L62" s="23">
        <f t="shared" si="26"/>
        <v>23.832536677985431</v>
      </c>
      <c r="M62" s="23">
        <f t="shared" si="27"/>
        <v>23.695960536564314</v>
      </c>
      <c r="N62" s="23">
        <f t="shared" si="28"/>
        <v>0.19314783149433118</v>
      </c>
      <c r="O62" s="23">
        <f t="shared" si="29"/>
        <v>0.78986535121881052</v>
      </c>
      <c r="P62" s="23"/>
      <c r="Q62" s="23"/>
    </row>
    <row r="63" spans="1:17" x14ac:dyDescent="0.2">
      <c r="A63" s="24" t="s">
        <v>0</v>
      </c>
      <c r="B63" s="25">
        <v>0</v>
      </c>
      <c r="C63" s="25" t="s">
        <v>47</v>
      </c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 spans="1:17" x14ac:dyDescent="0.2">
      <c r="A64" s="26" t="s">
        <v>0</v>
      </c>
      <c r="B64" s="27">
        <v>30</v>
      </c>
      <c r="C64" s="27" t="s">
        <v>46</v>
      </c>
      <c r="D64" s="27">
        <v>60</v>
      </c>
      <c r="E64" s="27">
        <v>1</v>
      </c>
      <c r="F64" s="27">
        <v>1</v>
      </c>
      <c r="G64" s="27">
        <v>48</v>
      </c>
      <c r="H64" s="27">
        <f>$B$3-G64</f>
        <v>202</v>
      </c>
      <c r="I64" s="27">
        <f>(G64/1000)/($B$2*F64)</f>
        <v>32.77827394106879</v>
      </c>
      <c r="J64" s="27">
        <v>48.7</v>
      </c>
      <c r="K64" s="27">
        <f>$B$3-J64</f>
        <v>201.3</v>
      </c>
      <c r="L64" s="27">
        <f>(J64/1000)/($B$2*F64)</f>
        <v>33.256290436042711</v>
      </c>
      <c r="M64" s="27">
        <f>AVERAGE(I64,L64)</f>
        <v>33.017282188555754</v>
      </c>
      <c r="N64" s="27">
        <f>STDEV(I64,L64)</f>
        <v>0.33800870511508518</v>
      </c>
      <c r="O64" s="27">
        <f>M64/B64</f>
        <v>1.1005760729518586</v>
      </c>
      <c r="P64" s="27"/>
      <c r="Q64" s="27"/>
    </row>
    <row r="65" spans="1:17" x14ac:dyDescent="0.2">
      <c r="A65" s="26" t="s">
        <v>0</v>
      </c>
      <c r="B65" s="27">
        <v>30</v>
      </c>
      <c r="C65" s="27" t="s">
        <v>46</v>
      </c>
      <c r="D65" s="27">
        <v>120</v>
      </c>
      <c r="E65" s="27">
        <v>2</v>
      </c>
      <c r="F65" s="27">
        <v>1</v>
      </c>
      <c r="G65" s="27">
        <v>46.7</v>
      </c>
      <c r="H65" s="27">
        <f>H64-G65</f>
        <v>155.30000000000001</v>
      </c>
      <c r="I65" s="27">
        <f>(G65/1000)/($B$2*F65)</f>
        <v>31.890529021831512</v>
      </c>
      <c r="J65" s="27">
        <v>48</v>
      </c>
      <c r="K65" s="27">
        <f>K64-J65</f>
        <v>153.30000000000001</v>
      </c>
      <c r="L65" s="27">
        <f>(J65/1000)/($B$2*F65)</f>
        <v>32.77827394106879</v>
      </c>
      <c r="M65" s="27">
        <f>AVERAGE(I65,L65)</f>
        <v>32.334401481450151</v>
      </c>
      <c r="N65" s="27">
        <f>STDEV(I65,L65)</f>
        <v>0.6277304523565832</v>
      </c>
      <c r="O65" s="27">
        <f>M65/B65</f>
        <v>1.0778133827150049</v>
      </c>
      <c r="P65" s="27">
        <f>AVERAGE(I65/I57*100,L65/L57*100)</f>
        <v>98.028549382716051</v>
      </c>
      <c r="Q65" s="27">
        <f>STDEV(I65/I57*100,L65/L57*100)</f>
        <v>1.0421095309153547</v>
      </c>
    </row>
  </sheetData>
  <mergeCells count="2">
    <mergeCell ref="A7:Q7"/>
    <mergeCell ref="A37:Q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3093-93D0-BA45-A4CC-B1CEF9979B46}">
  <dimension ref="A1:Q65"/>
  <sheetViews>
    <sheetView zoomScale="65" workbookViewId="0">
      <selection activeCell="P11" sqref="P11"/>
    </sheetView>
  </sheetViews>
  <sheetFormatPr baseColWidth="10" defaultColWidth="8.83203125" defaultRowHeight="16" x14ac:dyDescent="0.2"/>
  <cols>
    <col min="1" max="1" width="14" style="17" customWidth="1"/>
    <col min="2" max="2" width="12" style="17" customWidth="1"/>
    <col min="3" max="3" width="28.5" style="17" bestFit="1" customWidth="1"/>
    <col min="4" max="4" width="11" style="17" customWidth="1"/>
    <col min="5" max="5" width="8" style="17" customWidth="1"/>
    <col min="6" max="6" width="9" style="17" customWidth="1"/>
    <col min="7" max="8" width="16" style="17" customWidth="1"/>
    <col min="9" max="9" width="13" style="17" customWidth="1"/>
    <col min="10" max="11" width="16" style="17" customWidth="1"/>
    <col min="12" max="12" width="13" style="17" customWidth="1"/>
    <col min="13" max="13" width="14" style="17" customWidth="1"/>
    <col min="14" max="14" width="12" style="17" customWidth="1"/>
    <col min="15" max="15" width="16" style="17" customWidth="1"/>
    <col min="16" max="16" width="15" style="17" customWidth="1"/>
    <col min="17" max="17" width="14" style="17" customWidth="1"/>
    <col min="18" max="16384" width="8.83203125" style="17"/>
  </cols>
  <sheetData>
    <row r="1" spans="1:17" x14ac:dyDescent="0.2">
      <c r="A1" s="5" t="s">
        <v>17</v>
      </c>
      <c r="B1" s="5" t="s">
        <v>18</v>
      </c>
      <c r="C1" s="16"/>
      <c r="D1" s="5" t="s">
        <v>19</v>
      </c>
      <c r="E1" s="5" t="s">
        <v>20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">
      <c r="A2" s="17" t="s">
        <v>21</v>
      </c>
      <c r="B2" s="18">
        <v>1.4643846129999999E-3</v>
      </c>
      <c r="D2" s="17" t="s">
        <v>5</v>
      </c>
      <c r="E2" s="19">
        <v>12</v>
      </c>
    </row>
    <row r="3" spans="1:17" x14ac:dyDescent="0.2">
      <c r="A3" s="17" t="s">
        <v>22</v>
      </c>
      <c r="B3" s="19">
        <v>250</v>
      </c>
      <c r="D3" s="17" t="s">
        <v>1</v>
      </c>
      <c r="E3" s="19">
        <v>30</v>
      </c>
    </row>
    <row r="4" spans="1:17" x14ac:dyDescent="0.2">
      <c r="A4" s="17" t="s">
        <v>23</v>
      </c>
      <c r="B4" s="19">
        <v>20</v>
      </c>
      <c r="D4" s="17" t="s">
        <v>0</v>
      </c>
      <c r="E4" s="19">
        <v>30</v>
      </c>
    </row>
    <row r="5" spans="1:17" x14ac:dyDescent="0.2">
      <c r="A5" s="17" t="s">
        <v>24</v>
      </c>
      <c r="B5" s="19">
        <v>7</v>
      </c>
    </row>
    <row r="7" spans="1:17" x14ac:dyDescent="0.2">
      <c r="A7" s="37" t="s">
        <v>25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</row>
    <row r="8" spans="1:17" ht="34" x14ac:dyDescent="0.2">
      <c r="A8" s="10" t="s">
        <v>19</v>
      </c>
      <c r="B8" s="10" t="s">
        <v>26</v>
      </c>
      <c r="C8" s="10" t="s">
        <v>27</v>
      </c>
      <c r="D8" s="10" t="s">
        <v>28</v>
      </c>
      <c r="E8" s="10" t="s">
        <v>4</v>
      </c>
      <c r="F8" s="10" t="s">
        <v>29</v>
      </c>
      <c r="G8" s="10" t="s">
        <v>30</v>
      </c>
      <c r="H8" s="10" t="s">
        <v>31</v>
      </c>
      <c r="I8" s="10" t="s">
        <v>32</v>
      </c>
      <c r="J8" s="10" t="s">
        <v>33</v>
      </c>
      <c r="K8" s="10" t="s">
        <v>34</v>
      </c>
      <c r="L8" s="10" t="s">
        <v>35</v>
      </c>
      <c r="M8" s="10" t="s">
        <v>36</v>
      </c>
      <c r="N8" s="10" t="s">
        <v>37</v>
      </c>
      <c r="O8" s="10" t="s">
        <v>38</v>
      </c>
      <c r="P8" s="10" t="s">
        <v>43</v>
      </c>
      <c r="Q8" s="10" t="s">
        <v>44</v>
      </c>
    </row>
    <row r="9" spans="1:17" x14ac:dyDescent="0.2">
      <c r="A9" s="20" t="s">
        <v>5</v>
      </c>
      <c r="B9" s="21">
        <v>12</v>
      </c>
      <c r="C9" s="21" t="s">
        <v>39</v>
      </c>
      <c r="D9" s="21">
        <v>300</v>
      </c>
      <c r="E9" s="21">
        <v>5</v>
      </c>
      <c r="F9" s="21">
        <v>1</v>
      </c>
      <c r="G9" s="21">
        <v>47.6</v>
      </c>
      <c r="H9" s="21"/>
      <c r="I9" s="21">
        <f t="shared" ref="I9:I14" si="0">(G9/1000)/($B$2*F9)</f>
        <v>32.50512165822655</v>
      </c>
      <c r="J9" s="21">
        <v>48.2</v>
      </c>
      <c r="K9" s="21"/>
      <c r="L9" s="21">
        <f t="shared" ref="L9:L14" si="1">(J9/1000)/($B$2*F9)</f>
        <v>32.914850082489906</v>
      </c>
      <c r="M9" s="21">
        <f t="shared" ref="M9:M14" si="2">AVERAGE(I9,L9)</f>
        <v>32.709985870358224</v>
      </c>
      <c r="N9" s="21">
        <f t="shared" ref="N9:N14" si="3">STDEV(I9,L9)</f>
        <v>0.28972174724149802</v>
      </c>
      <c r="O9" s="21">
        <f t="shared" ref="O9:O14" si="4">M9/B9</f>
        <v>2.7258321558631855</v>
      </c>
      <c r="P9" s="21"/>
      <c r="Q9" s="21"/>
    </row>
    <row r="10" spans="1:17" x14ac:dyDescent="0.2">
      <c r="A10" s="22" t="s">
        <v>5</v>
      </c>
      <c r="B10" s="23">
        <v>12</v>
      </c>
      <c r="C10" s="23" t="s">
        <v>40</v>
      </c>
      <c r="D10" s="23">
        <v>60</v>
      </c>
      <c r="E10" s="23">
        <v>1</v>
      </c>
      <c r="F10" s="23">
        <v>1</v>
      </c>
      <c r="G10" s="23">
        <v>43</v>
      </c>
      <c r="H10" s="23">
        <f>$B$3-G10</f>
        <v>207</v>
      </c>
      <c r="I10" s="23">
        <f t="shared" si="0"/>
        <v>29.363870405540787</v>
      </c>
      <c r="J10" s="23">
        <v>43.4</v>
      </c>
      <c r="K10" s="23">
        <f>$B$3-J10</f>
        <v>206.6</v>
      </c>
      <c r="L10" s="23">
        <f t="shared" si="1"/>
        <v>29.637022688383031</v>
      </c>
      <c r="M10" s="23">
        <f t="shared" si="2"/>
        <v>29.500446546961911</v>
      </c>
      <c r="N10" s="23">
        <f t="shared" si="3"/>
        <v>0.19314783149433618</v>
      </c>
      <c r="O10" s="23">
        <f t="shared" si="4"/>
        <v>2.4583705455801592</v>
      </c>
      <c r="P10" s="23"/>
      <c r="Q10" s="23"/>
    </row>
    <row r="11" spans="1:17" x14ac:dyDescent="0.2">
      <c r="A11" s="22" t="s">
        <v>5</v>
      </c>
      <c r="B11" s="23">
        <v>12</v>
      </c>
      <c r="C11" s="23" t="s">
        <v>40</v>
      </c>
      <c r="D11" s="23">
        <v>120</v>
      </c>
      <c r="E11" s="23">
        <v>2</v>
      </c>
      <c r="F11" s="23">
        <v>1</v>
      </c>
      <c r="G11" s="23">
        <v>35.9</v>
      </c>
      <c r="H11" s="23">
        <f>H10-G11</f>
        <v>171.1</v>
      </c>
      <c r="I11" s="23">
        <f t="shared" si="0"/>
        <v>24.51541738509103</v>
      </c>
      <c r="J11" s="23">
        <v>36.4</v>
      </c>
      <c r="K11" s="23">
        <f>K10-J11</f>
        <v>170.2</v>
      </c>
      <c r="L11" s="23">
        <f t="shared" si="1"/>
        <v>24.856857738643832</v>
      </c>
      <c r="M11" s="23">
        <f t="shared" si="2"/>
        <v>24.686137561867433</v>
      </c>
      <c r="N11" s="23">
        <f t="shared" si="3"/>
        <v>0.24143478936791835</v>
      </c>
      <c r="O11" s="23">
        <f t="shared" si="4"/>
        <v>2.0571781301556196</v>
      </c>
      <c r="P11" s="23"/>
      <c r="Q11" s="23"/>
    </row>
    <row r="12" spans="1:17" x14ac:dyDescent="0.2">
      <c r="A12" s="22" t="s">
        <v>5</v>
      </c>
      <c r="B12" s="23">
        <v>12</v>
      </c>
      <c r="C12" s="23" t="s">
        <v>40</v>
      </c>
      <c r="D12" s="23">
        <v>180</v>
      </c>
      <c r="E12" s="23">
        <v>3</v>
      </c>
      <c r="F12" s="23">
        <v>1</v>
      </c>
      <c r="G12" s="23">
        <v>32.1</v>
      </c>
      <c r="H12" s="23">
        <f>H11-G12</f>
        <v>139</v>
      </c>
      <c r="I12" s="23">
        <f t="shared" si="0"/>
        <v>21.920470698089755</v>
      </c>
      <c r="J12" s="23">
        <v>33.200000000000003</v>
      </c>
      <c r="K12" s="23">
        <f>K11-J12</f>
        <v>137</v>
      </c>
      <c r="L12" s="23">
        <f t="shared" si="1"/>
        <v>22.671639475905913</v>
      </c>
      <c r="M12" s="23">
        <f t="shared" si="2"/>
        <v>22.296055086997832</v>
      </c>
      <c r="N12" s="23">
        <f t="shared" si="3"/>
        <v>0.53115653660941631</v>
      </c>
      <c r="O12" s="23">
        <f t="shared" si="4"/>
        <v>1.8580045905831526</v>
      </c>
      <c r="P12" s="23"/>
      <c r="Q12" s="23"/>
    </row>
    <row r="13" spans="1:17" x14ac:dyDescent="0.2">
      <c r="A13" s="22" t="s">
        <v>5</v>
      </c>
      <c r="B13" s="23">
        <v>12</v>
      </c>
      <c r="C13" s="23" t="s">
        <v>40</v>
      </c>
      <c r="D13" s="23">
        <v>240</v>
      </c>
      <c r="E13" s="23">
        <v>4</v>
      </c>
      <c r="F13" s="23">
        <v>1</v>
      </c>
      <c r="G13" s="23">
        <v>23.9</v>
      </c>
      <c r="H13" s="23">
        <f>H12-G13</f>
        <v>115.1</v>
      </c>
      <c r="I13" s="23">
        <f t="shared" si="0"/>
        <v>16.320848899823833</v>
      </c>
      <c r="J13" s="23">
        <v>25</v>
      </c>
      <c r="K13" s="23">
        <f>K12-J13</f>
        <v>112</v>
      </c>
      <c r="L13" s="23">
        <f t="shared" si="1"/>
        <v>17.072017677639995</v>
      </c>
      <c r="M13" s="23">
        <f t="shared" si="2"/>
        <v>16.696433288731914</v>
      </c>
      <c r="N13" s="23">
        <f t="shared" si="3"/>
        <v>0.53115653660941886</v>
      </c>
      <c r="O13" s="23">
        <f t="shared" si="4"/>
        <v>1.3913694407276596</v>
      </c>
      <c r="P13" s="23"/>
      <c r="Q13" s="23"/>
    </row>
    <row r="14" spans="1:17" x14ac:dyDescent="0.2">
      <c r="A14" s="22" t="s">
        <v>5</v>
      </c>
      <c r="B14" s="23">
        <v>12</v>
      </c>
      <c r="C14" s="23" t="s">
        <v>40</v>
      </c>
      <c r="D14" s="23">
        <v>300</v>
      </c>
      <c r="E14" s="23">
        <v>5</v>
      </c>
      <c r="F14" s="23">
        <v>1</v>
      </c>
      <c r="G14" s="23">
        <v>21.3</v>
      </c>
      <c r="H14" s="23">
        <f>H13-G14</f>
        <v>93.8</v>
      </c>
      <c r="I14" s="23">
        <f t="shared" si="0"/>
        <v>14.545359061349274</v>
      </c>
      <c r="J14" s="23">
        <v>22.3</v>
      </c>
      <c r="K14" s="23">
        <f>K13-J14</f>
        <v>89.7</v>
      </c>
      <c r="L14" s="23">
        <f t="shared" si="1"/>
        <v>15.228239768454875</v>
      </c>
      <c r="M14" s="23">
        <f t="shared" si="2"/>
        <v>14.886799414902075</v>
      </c>
      <c r="N14" s="23">
        <f t="shared" si="3"/>
        <v>0.48286957873583541</v>
      </c>
      <c r="O14" s="23">
        <f t="shared" si="4"/>
        <v>1.2405666179085062</v>
      </c>
      <c r="P14" s="23"/>
      <c r="Q14" s="23"/>
    </row>
    <row r="15" spans="1:17" x14ac:dyDescent="0.2">
      <c r="A15" s="24" t="s">
        <v>5</v>
      </c>
      <c r="B15" s="25">
        <v>0</v>
      </c>
      <c r="C15" s="25" t="s">
        <v>48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</row>
    <row r="16" spans="1:17" x14ac:dyDescent="0.2">
      <c r="A16" s="26" t="s">
        <v>5</v>
      </c>
      <c r="B16" s="27">
        <v>12</v>
      </c>
      <c r="C16" s="27" t="s">
        <v>46</v>
      </c>
      <c r="D16" s="27">
        <v>60</v>
      </c>
      <c r="E16" s="27">
        <v>1</v>
      </c>
      <c r="F16" s="27">
        <v>1</v>
      </c>
      <c r="G16" s="27">
        <v>43.8</v>
      </c>
      <c r="H16" s="27">
        <f>$B$3-G16</f>
        <v>206.2</v>
      </c>
      <c r="I16" s="27">
        <f t="shared" ref="I16:I23" si="5">(G16/1000)/($B$2*F16)</f>
        <v>29.910174971225267</v>
      </c>
      <c r="J16" s="27">
        <v>44.4</v>
      </c>
      <c r="K16" s="27">
        <f>$B$3-J16</f>
        <v>205.6</v>
      </c>
      <c r="L16" s="27">
        <f t="shared" ref="L16:L23" si="6">(J16/1000)/($B$2*F16)</f>
        <v>30.31990339548863</v>
      </c>
      <c r="M16" s="27">
        <f t="shared" ref="M16:M23" si="7">AVERAGE(I16,L16)</f>
        <v>30.115039183356949</v>
      </c>
      <c r="N16" s="27">
        <f t="shared" ref="N16:N23" si="8">STDEV(I16,L16)</f>
        <v>0.28972174724150301</v>
      </c>
      <c r="O16" s="27">
        <f t="shared" ref="O16:O23" si="9">M16/B16</f>
        <v>2.5095865986130792</v>
      </c>
      <c r="P16" s="27"/>
      <c r="Q16" s="27"/>
    </row>
    <row r="17" spans="1:17" x14ac:dyDescent="0.2">
      <c r="A17" s="26" t="s">
        <v>5</v>
      </c>
      <c r="B17" s="27">
        <v>12</v>
      </c>
      <c r="C17" s="27" t="s">
        <v>46</v>
      </c>
      <c r="D17" s="27">
        <v>120</v>
      </c>
      <c r="E17" s="27">
        <v>2</v>
      </c>
      <c r="F17" s="27">
        <v>1</v>
      </c>
      <c r="G17" s="27">
        <v>42.5</v>
      </c>
      <c r="H17" s="27">
        <f>H16-G17</f>
        <v>163.69999999999999</v>
      </c>
      <c r="I17" s="27">
        <f t="shared" si="5"/>
        <v>29.022430051987993</v>
      </c>
      <c r="J17" s="27">
        <v>43.7</v>
      </c>
      <c r="K17" s="27">
        <f>K16-J17</f>
        <v>161.89999999999998</v>
      </c>
      <c r="L17" s="27">
        <f t="shared" si="6"/>
        <v>29.841886900514712</v>
      </c>
      <c r="M17" s="27">
        <f t="shared" si="7"/>
        <v>29.432158476251352</v>
      </c>
      <c r="N17" s="27">
        <f t="shared" si="8"/>
        <v>0.57944349448300103</v>
      </c>
      <c r="O17" s="27">
        <f t="shared" si="9"/>
        <v>2.452679873020946</v>
      </c>
      <c r="P17" s="27">
        <f>AVERAGE(I17/I9*100,L17/L9*100)</f>
        <v>89.974807350326031</v>
      </c>
      <c r="Q17" s="27">
        <f>STDEV(I17/I9*100,L17/L9*100)</f>
        <v>0.97452475771116176</v>
      </c>
    </row>
    <row r="18" spans="1:17" x14ac:dyDescent="0.2">
      <c r="A18" s="20" t="s">
        <v>1</v>
      </c>
      <c r="B18" s="21">
        <v>30</v>
      </c>
      <c r="C18" s="21" t="s">
        <v>39</v>
      </c>
      <c r="D18" s="21">
        <v>300</v>
      </c>
      <c r="E18" s="21">
        <v>5</v>
      </c>
      <c r="F18" s="21">
        <v>1</v>
      </c>
      <c r="G18" s="21">
        <v>48</v>
      </c>
      <c r="H18" s="21"/>
      <c r="I18" s="21">
        <f t="shared" si="5"/>
        <v>32.77827394106879</v>
      </c>
      <c r="J18" s="21">
        <v>48.4</v>
      </c>
      <c r="K18" s="21"/>
      <c r="L18" s="21">
        <f t="shared" si="6"/>
        <v>33.051426223911029</v>
      </c>
      <c r="M18" s="21">
        <f t="shared" si="7"/>
        <v>32.914850082489906</v>
      </c>
      <c r="N18" s="21">
        <f t="shared" si="8"/>
        <v>0.1931478314943337</v>
      </c>
      <c r="O18" s="21">
        <f t="shared" si="9"/>
        <v>1.0971616694163302</v>
      </c>
      <c r="P18" s="21"/>
      <c r="Q18" s="21"/>
    </row>
    <row r="19" spans="1:17" x14ac:dyDescent="0.2">
      <c r="A19" s="22" t="s">
        <v>1</v>
      </c>
      <c r="B19" s="23">
        <v>30</v>
      </c>
      <c r="C19" s="23" t="s">
        <v>40</v>
      </c>
      <c r="D19" s="23">
        <v>60</v>
      </c>
      <c r="E19" s="23">
        <v>1</v>
      </c>
      <c r="F19" s="23">
        <v>1</v>
      </c>
      <c r="G19" s="23">
        <v>42.4</v>
      </c>
      <c r="H19" s="23">
        <f>$B$3-G19</f>
        <v>207.6</v>
      </c>
      <c r="I19" s="23">
        <f t="shared" si="5"/>
        <v>28.954141981277431</v>
      </c>
      <c r="J19" s="23">
        <v>42.8</v>
      </c>
      <c r="K19" s="23">
        <f>$B$3-J19</f>
        <v>207.2</v>
      </c>
      <c r="L19" s="23">
        <f t="shared" si="6"/>
        <v>29.227294264119667</v>
      </c>
      <c r="M19" s="23">
        <f t="shared" si="7"/>
        <v>29.090718122698547</v>
      </c>
      <c r="N19" s="23">
        <f t="shared" si="8"/>
        <v>0.19314783149433118</v>
      </c>
      <c r="O19" s="23">
        <f t="shared" si="9"/>
        <v>0.96969060408995156</v>
      </c>
      <c r="P19" s="23"/>
      <c r="Q19" s="23"/>
    </row>
    <row r="20" spans="1:17" x14ac:dyDescent="0.2">
      <c r="A20" s="22" t="s">
        <v>1</v>
      </c>
      <c r="B20" s="23">
        <v>30</v>
      </c>
      <c r="C20" s="23" t="s">
        <v>40</v>
      </c>
      <c r="D20" s="23">
        <v>120</v>
      </c>
      <c r="E20" s="23">
        <v>2</v>
      </c>
      <c r="F20" s="23">
        <v>1</v>
      </c>
      <c r="G20" s="23">
        <v>38.4</v>
      </c>
      <c r="H20" s="23">
        <f>H19-G20</f>
        <v>169.2</v>
      </c>
      <c r="I20" s="23">
        <f t="shared" si="5"/>
        <v>26.222619152855028</v>
      </c>
      <c r="J20" s="23">
        <v>39.5</v>
      </c>
      <c r="K20" s="23">
        <f>K19-J20</f>
        <v>167.7</v>
      </c>
      <c r="L20" s="23">
        <f t="shared" si="6"/>
        <v>26.97378793067119</v>
      </c>
      <c r="M20" s="23">
        <f t="shared" si="7"/>
        <v>26.598203541763109</v>
      </c>
      <c r="N20" s="23">
        <f t="shared" si="8"/>
        <v>0.53115653660941886</v>
      </c>
      <c r="O20" s="23">
        <f t="shared" si="9"/>
        <v>0.88660678472543697</v>
      </c>
      <c r="P20" s="23"/>
      <c r="Q20" s="23"/>
    </row>
    <row r="21" spans="1:17" x14ac:dyDescent="0.2">
      <c r="A21" s="22" t="s">
        <v>1</v>
      </c>
      <c r="B21" s="23">
        <v>30</v>
      </c>
      <c r="C21" s="23" t="s">
        <v>40</v>
      </c>
      <c r="D21" s="23">
        <v>180</v>
      </c>
      <c r="E21" s="23">
        <v>3</v>
      </c>
      <c r="F21" s="23">
        <v>1</v>
      </c>
      <c r="G21" s="23">
        <v>36.5</v>
      </c>
      <c r="H21" s="23">
        <f>H20-G21</f>
        <v>132.69999999999999</v>
      </c>
      <c r="I21" s="23">
        <f t="shared" si="5"/>
        <v>24.92514580935439</v>
      </c>
      <c r="J21" s="23">
        <v>37</v>
      </c>
      <c r="K21" s="23">
        <f>K20-J21</f>
        <v>130.69999999999999</v>
      </c>
      <c r="L21" s="23">
        <f t="shared" si="6"/>
        <v>25.266586162907188</v>
      </c>
      <c r="M21" s="23">
        <f t="shared" si="7"/>
        <v>25.095865986130789</v>
      </c>
      <c r="N21" s="23">
        <f t="shared" si="8"/>
        <v>0.24143478936791585</v>
      </c>
      <c r="O21" s="23">
        <f t="shared" si="9"/>
        <v>0.83652886620435962</v>
      </c>
      <c r="P21" s="23"/>
      <c r="Q21" s="23"/>
    </row>
    <row r="22" spans="1:17" x14ac:dyDescent="0.2">
      <c r="A22" s="22" t="s">
        <v>1</v>
      </c>
      <c r="B22" s="23">
        <v>30</v>
      </c>
      <c r="C22" s="23" t="s">
        <v>40</v>
      </c>
      <c r="D22" s="23">
        <v>240</v>
      </c>
      <c r="E22" s="23">
        <v>4</v>
      </c>
      <c r="F22" s="23">
        <v>1</v>
      </c>
      <c r="G22" s="23">
        <v>32.700000000000003</v>
      </c>
      <c r="H22" s="23">
        <f>H21-G22</f>
        <v>99.999999999999986</v>
      </c>
      <c r="I22" s="23">
        <f t="shared" si="5"/>
        <v>22.330199122353111</v>
      </c>
      <c r="J22" s="23">
        <v>33.200000000000003</v>
      </c>
      <c r="K22" s="23">
        <f>K21-J22</f>
        <v>97.499999999999986</v>
      </c>
      <c r="L22" s="23">
        <f t="shared" si="6"/>
        <v>22.671639475905913</v>
      </c>
      <c r="M22" s="23">
        <f t="shared" si="7"/>
        <v>22.500919299129514</v>
      </c>
      <c r="N22" s="23">
        <f t="shared" si="8"/>
        <v>0.24143478936791835</v>
      </c>
      <c r="O22" s="23">
        <f t="shared" si="9"/>
        <v>0.75003064330431712</v>
      </c>
      <c r="P22" s="23"/>
      <c r="Q22" s="23"/>
    </row>
    <row r="23" spans="1:17" x14ac:dyDescent="0.2">
      <c r="A23" s="22" t="s">
        <v>1</v>
      </c>
      <c r="B23" s="23">
        <v>30</v>
      </c>
      <c r="C23" s="23" t="s">
        <v>40</v>
      </c>
      <c r="D23" s="23">
        <v>300</v>
      </c>
      <c r="E23" s="23">
        <v>5</v>
      </c>
      <c r="F23" s="23">
        <v>1</v>
      </c>
      <c r="G23" s="23">
        <v>29.9</v>
      </c>
      <c r="H23" s="23">
        <f>H22-G23</f>
        <v>70.099999999999994</v>
      </c>
      <c r="I23" s="23">
        <f t="shared" si="5"/>
        <v>20.418133142457432</v>
      </c>
      <c r="J23" s="23">
        <v>30.4</v>
      </c>
      <c r="K23" s="23">
        <f>K22-J23</f>
        <v>67.099999999999994</v>
      </c>
      <c r="L23" s="23">
        <f t="shared" si="6"/>
        <v>20.759573496010233</v>
      </c>
      <c r="M23" s="23">
        <f t="shared" si="7"/>
        <v>20.588853319233834</v>
      </c>
      <c r="N23" s="23">
        <f t="shared" si="8"/>
        <v>0.24143478936791835</v>
      </c>
      <c r="O23" s="23">
        <f t="shared" si="9"/>
        <v>0.6862951106411278</v>
      </c>
      <c r="P23" s="23"/>
      <c r="Q23" s="23"/>
    </row>
    <row r="24" spans="1:17" x14ac:dyDescent="0.2">
      <c r="A24" s="24" t="s">
        <v>1</v>
      </c>
      <c r="B24" s="25">
        <v>0</v>
      </c>
      <c r="C24" s="25" t="s">
        <v>48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</row>
    <row r="25" spans="1:17" x14ac:dyDescent="0.2">
      <c r="A25" s="26" t="s">
        <v>1</v>
      </c>
      <c r="B25" s="27">
        <v>30</v>
      </c>
      <c r="C25" s="27" t="s">
        <v>46</v>
      </c>
      <c r="D25" s="27">
        <v>60</v>
      </c>
      <c r="E25" s="27">
        <v>1</v>
      </c>
      <c r="F25" s="27">
        <v>1</v>
      </c>
      <c r="G25" s="27">
        <v>45.1</v>
      </c>
      <c r="H25" s="27">
        <f>$B$3-G25</f>
        <v>204.9</v>
      </c>
      <c r="I25" s="27">
        <f t="shared" ref="I25:I32" si="10">(G25/1000)/($B$2*F25)</f>
        <v>30.797919890462548</v>
      </c>
      <c r="J25" s="27">
        <v>45.7</v>
      </c>
      <c r="K25" s="27">
        <f>$B$3-J25</f>
        <v>204.3</v>
      </c>
      <c r="L25" s="27">
        <f t="shared" ref="L25:L32" si="11">(J25/1000)/($B$2*F25)</f>
        <v>31.207648314725912</v>
      </c>
      <c r="M25" s="27">
        <f t="shared" ref="M25:M32" si="12">AVERAGE(I25,L25)</f>
        <v>31.00278410259423</v>
      </c>
      <c r="N25" s="27">
        <f t="shared" ref="N25:N32" si="13">STDEV(I25,L25)</f>
        <v>0.28972174724150301</v>
      </c>
      <c r="O25" s="27">
        <f t="shared" ref="O25:O32" si="14">M25/B25</f>
        <v>1.033426136753141</v>
      </c>
      <c r="P25" s="27"/>
      <c r="Q25" s="27"/>
    </row>
    <row r="26" spans="1:17" x14ac:dyDescent="0.2">
      <c r="A26" s="26" t="s">
        <v>1</v>
      </c>
      <c r="B26" s="27">
        <v>30</v>
      </c>
      <c r="C26" s="27" t="s">
        <v>46</v>
      </c>
      <c r="D26" s="27">
        <v>120</v>
      </c>
      <c r="E26" s="27">
        <v>2</v>
      </c>
      <c r="F26" s="27">
        <v>1</v>
      </c>
      <c r="G26" s="27">
        <v>44.5</v>
      </c>
      <c r="H26" s="27">
        <f>H25-G26</f>
        <v>160.4</v>
      </c>
      <c r="I26" s="27">
        <f t="shared" si="10"/>
        <v>30.388191466199189</v>
      </c>
      <c r="J26" s="27">
        <v>44.2</v>
      </c>
      <c r="K26" s="27">
        <f>K25-J26</f>
        <v>160.10000000000002</v>
      </c>
      <c r="L26" s="27">
        <f t="shared" si="11"/>
        <v>30.18332725406751</v>
      </c>
      <c r="M26" s="27">
        <f t="shared" si="12"/>
        <v>30.285759360133348</v>
      </c>
      <c r="N26" s="27">
        <f t="shared" si="13"/>
        <v>0.14486087362074901</v>
      </c>
      <c r="O26" s="27">
        <f t="shared" si="14"/>
        <v>1.009525312004445</v>
      </c>
      <c r="P26" s="27">
        <f>AVERAGE(I26/I18*100,L26/L18*100)</f>
        <v>92.015323691460054</v>
      </c>
      <c r="Q26" s="27">
        <f>STDEV(I26/I18*100,L26/L18*100)</f>
        <v>0.98006363439251643</v>
      </c>
    </row>
    <row r="27" spans="1:17" x14ac:dyDescent="0.2">
      <c r="A27" s="20" t="s">
        <v>0</v>
      </c>
      <c r="B27" s="21">
        <v>30</v>
      </c>
      <c r="C27" s="21" t="s">
        <v>39</v>
      </c>
      <c r="D27" s="21">
        <v>300</v>
      </c>
      <c r="E27" s="21">
        <v>5</v>
      </c>
      <c r="F27" s="21">
        <v>1</v>
      </c>
      <c r="G27" s="21">
        <v>47.4</v>
      </c>
      <c r="H27" s="21"/>
      <c r="I27" s="21">
        <f t="shared" si="10"/>
        <v>32.368545516805426</v>
      </c>
      <c r="J27" s="21">
        <v>48.1</v>
      </c>
      <c r="K27" s="21"/>
      <c r="L27" s="21">
        <f t="shared" si="11"/>
        <v>32.846562011779348</v>
      </c>
      <c r="M27" s="21">
        <f t="shared" si="12"/>
        <v>32.60755376429239</v>
      </c>
      <c r="N27" s="21">
        <f t="shared" si="13"/>
        <v>0.33800870511508518</v>
      </c>
      <c r="O27" s="21">
        <f t="shared" si="14"/>
        <v>1.0869184588097462</v>
      </c>
      <c r="P27" s="21"/>
      <c r="Q27" s="21"/>
    </row>
    <row r="28" spans="1:17" x14ac:dyDescent="0.2">
      <c r="A28" s="22" t="s">
        <v>0</v>
      </c>
      <c r="B28" s="23">
        <v>30</v>
      </c>
      <c r="C28" s="23" t="s">
        <v>40</v>
      </c>
      <c r="D28" s="23">
        <v>60</v>
      </c>
      <c r="E28" s="23">
        <v>1</v>
      </c>
      <c r="F28" s="23">
        <v>1</v>
      </c>
      <c r="G28" s="23">
        <v>43.4</v>
      </c>
      <c r="H28" s="23">
        <f>$B$3-G28</f>
        <v>206.6</v>
      </c>
      <c r="I28" s="23">
        <f t="shared" si="10"/>
        <v>29.637022688383031</v>
      </c>
      <c r="J28" s="23">
        <v>43.9</v>
      </c>
      <c r="K28" s="23">
        <f>$B$3-J28</f>
        <v>206.1</v>
      </c>
      <c r="L28" s="23">
        <f t="shared" si="11"/>
        <v>29.978463041935829</v>
      </c>
      <c r="M28" s="23">
        <f t="shared" si="12"/>
        <v>29.80774286515943</v>
      </c>
      <c r="N28" s="23">
        <f t="shared" si="13"/>
        <v>0.24143478936791585</v>
      </c>
      <c r="O28" s="23">
        <f t="shared" si="14"/>
        <v>0.99359142883864771</v>
      </c>
      <c r="P28" s="23"/>
      <c r="Q28" s="23"/>
    </row>
    <row r="29" spans="1:17" x14ac:dyDescent="0.2">
      <c r="A29" s="22" t="s">
        <v>0</v>
      </c>
      <c r="B29" s="23">
        <v>30</v>
      </c>
      <c r="C29" s="23" t="s">
        <v>40</v>
      </c>
      <c r="D29" s="23">
        <v>120</v>
      </c>
      <c r="E29" s="23">
        <v>2</v>
      </c>
      <c r="F29" s="23">
        <v>1</v>
      </c>
      <c r="G29" s="23">
        <v>40.799999999999997</v>
      </c>
      <c r="H29" s="23">
        <f>H28-G29</f>
        <v>165.8</v>
      </c>
      <c r="I29" s="23">
        <f t="shared" si="10"/>
        <v>27.861532849908468</v>
      </c>
      <c r="J29" s="23">
        <v>41.2</v>
      </c>
      <c r="K29" s="23">
        <f>K28-J29</f>
        <v>164.89999999999998</v>
      </c>
      <c r="L29" s="23">
        <f t="shared" si="11"/>
        <v>28.134685132750711</v>
      </c>
      <c r="M29" s="23">
        <f t="shared" si="12"/>
        <v>27.998108991329588</v>
      </c>
      <c r="N29" s="23">
        <f t="shared" si="13"/>
        <v>0.19314783149433618</v>
      </c>
      <c r="O29" s="23">
        <f t="shared" si="14"/>
        <v>0.9332702997109863</v>
      </c>
      <c r="P29" s="23"/>
      <c r="Q29" s="23"/>
    </row>
    <row r="30" spans="1:17" x14ac:dyDescent="0.2">
      <c r="A30" s="22" t="s">
        <v>0</v>
      </c>
      <c r="B30" s="23">
        <v>30</v>
      </c>
      <c r="C30" s="23" t="s">
        <v>40</v>
      </c>
      <c r="D30" s="23">
        <v>180</v>
      </c>
      <c r="E30" s="23">
        <v>3</v>
      </c>
      <c r="F30" s="23">
        <v>1</v>
      </c>
      <c r="G30" s="23">
        <v>36.799999999999997</v>
      </c>
      <c r="H30" s="23">
        <f>H29-G30</f>
        <v>129</v>
      </c>
      <c r="I30" s="23">
        <f t="shared" si="10"/>
        <v>25.130010021486072</v>
      </c>
      <c r="J30" s="23">
        <v>37.9</v>
      </c>
      <c r="K30" s="23">
        <f>K29-J30</f>
        <v>126.99999999999997</v>
      </c>
      <c r="L30" s="23">
        <f t="shared" si="11"/>
        <v>25.881178799302226</v>
      </c>
      <c r="M30" s="23">
        <f t="shared" si="12"/>
        <v>25.505594410394149</v>
      </c>
      <c r="N30" s="23">
        <f t="shared" si="13"/>
        <v>0.53115653660941387</v>
      </c>
      <c r="O30" s="23">
        <f t="shared" si="14"/>
        <v>0.8501864803464716</v>
      </c>
      <c r="P30" s="23"/>
      <c r="Q30" s="23"/>
    </row>
    <row r="31" spans="1:17" x14ac:dyDescent="0.2">
      <c r="A31" s="22" t="s">
        <v>0</v>
      </c>
      <c r="B31" s="23">
        <v>30</v>
      </c>
      <c r="C31" s="23" t="s">
        <v>40</v>
      </c>
      <c r="D31" s="23">
        <v>240</v>
      </c>
      <c r="E31" s="23">
        <v>4</v>
      </c>
      <c r="F31" s="23">
        <v>1</v>
      </c>
      <c r="G31" s="23">
        <v>35.9</v>
      </c>
      <c r="H31" s="23">
        <f>H30-G31</f>
        <v>93.1</v>
      </c>
      <c r="I31" s="23">
        <f t="shared" si="10"/>
        <v>24.51541738509103</v>
      </c>
      <c r="J31" s="23">
        <v>36.4</v>
      </c>
      <c r="K31" s="23">
        <f>K30-J31</f>
        <v>90.599999999999966</v>
      </c>
      <c r="L31" s="23">
        <f t="shared" si="11"/>
        <v>24.856857738643832</v>
      </c>
      <c r="M31" s="23">
        <f t="shared" si="12"/>
        <v>24.686137561867433</v>
      </c>
      <c r="N31" s="23">
        <f t="shared" si="13"/>
        <v>0.24143478936791835</v>
      </c>
      <c r="O31" s="23">
        <f t="shared" si="14"/>
        <v>0.82287125206224776</v>
      </c>
      <c r="P31" s="23"/>
      <c r="Q31" s="23"/>
    </row>
    <row r="32" spans="1:17" x14ac:dyDescent="0.2">
      <c r="A32" s="22" t="s">
        <v>0</v>
      </c>
      <c r="B32" s="23">
        <v>30</v>
      </c>
      <c r="C32" s="23" t="s">
        <v>40</v>
      </c>
      <c r="D32" s="23">
        <v>300</v>
      </c>
      <c r="E32" s="23">
        <v>5</v>
      </c>
      <c r="F32" s="23">
        <v>1</v>
      </c>
      <c r="G32" s="23">
        <v>34.299999999999997</v>
      </c>
      <c r="H32" s="23">
        <f>H31-G32</f>
        <v>58.8</v>
      </c>
      <c r="I32" s="23">
        <f t="shared" si="10"/>
        <v>23.422808253722071</v>
      </c>
      <c r="J32" s="23">
        <v>34.799999999999997</v>
      </c>
      <c r="K32" s="23">
        <f>K31-J32</f>
        <v>55.799999999999969</v>
      </c>
      <c r="L32" s="23">
        <f t="shared" si="11"/>
        <v>23.764248607274869</v>
      </c>
      <c r="M32" s="23">
        <f t="shared" si="12"/>
        <v>23.59352843049847</v>
      </c>
      <c r="N32" s="23">
        <f t="shared" si="13"/>
        <v>0.24143478936791585</v>
      </c>
      <c r="O32" s="23">
        <f t="shared" si="14"/>
        <v>0.78645094768328228</v>
      </c>
      <c r="P32" s="23"/>
      <c r="Q32" s="23"/>
    </row>
    <row r="33" spans="1:17" x14ac:dyDescent="0.2">
      <c r="A33" s="24" t="s">
        <v>0</v>
      </c>
      <c r="B33" s="25">
        <v>0</v>
      </c>
      <c r="C33" s="25" t="s">
        <v>48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</row>
    <row r="34" spans="1:17" x14ac:dyDescent="0.2">
      <c r="A34" s="26" t="s">
        <v>0</v>
      </c>
      <c r="B34" s="27">
        <v>30</v>
      </c>
      <c r="C34" s="27" t="s">
        <v>46</v>
      </c>
      <c r="D34" s="27">
        <v>60</v>
      </c>
      <c r="E34" s="27">
        <v>1</v>
      </c>
      <c r="F34" s="27">
        <v>1</v>
      </c>
      <c r="G34" s="27">
        <v>48.5</v>
      </c>
      <c r="H34" s="27">
        <f>$B$3-G34</f>
        <v>201.5</v>
      </c>
      <c r="I34" s="27">
        <f>(G34/1000)/($B$2*F34)</f>
        <v>33.119714294621588</v>
      </c>
      <c r="J34" s="27">
        <v>49.1</v>
      </c>
      <c r="K34" s="27">
        <f>$B$3-J34</f>
        <v>200.9</v>
      </c>
      <c r="L34" s="27">
        <f>(J34/1000)/($B$2*F34)</f>
        <v>33.529442718884951</v>
      </c>
      <c r="M34" s="27">
        <f>AVERAGE(I34,L34)</f>
        <v>33.324578506753269</v>
      </c>
      <c r="N34" s="27">
        <f>STDEV(I34,L34)</f>
        <v>0.28972174724150301</v>
      </c>
      <c r="O34" s="27">
        <f>M34/B34</f>
        <v>1.1108192835584423</v>
      </c>
      <c r="P34" s="27"/>
      <c r="Q34" s="27"/>
    </row>
    <row r="35" spans="1:17" x14ac:dyDescent="0.2">
      <c r="A35" s="26" t="s">
        <v>0</v>
      </c>
      <c r="B35" s="27">
        <v>30</v>
      </c>
      <c r="C35" s="27" t="s">
        <v>46</v>
      </c>
      <c r="D35" s="27">
        <v>120</v>
      </c>
      <c r="E35" s="27">
        <v>2</v>
      </c>
      <c r="F35" s="27">
        <v>1</v>
      </c>
      <c r="G35" s="27">
        <v>47.6</v>
      </c>
      <c r="H35" s="27">
        <f>H34-G35</f>
        <v>153.9</v>
      </c>
      <c r="I35" s="27">
        <f>(G35/1000)/($B$2*F35)</f>
        <v>32.50512165822655</v>
      </c>
      <c r="J35" s="27">
        <v>47.9</v>
      </c>
      <c r="K35" s="27">
        <f>K34-J35</f>
        <v>153</v>
      </c>
      <c r="L35" s="27">
        <f>(J35/1000)/($B$2*F35)</f>
        <v>32.709985870358224</v>
      </c>
      <c r="M35" s="27">
        <f>AVERAGE(I35,L35)</f>
        <v>32.60755376429239</v>
      </c>
      <c r="N35" s="27">
        <f>STDEV(I35,L35)</f>
        <v>0.14486087362074648</v>
      </c>
      <c r="O35" s="27">
        <f>M35/B35</f>
        <v>1.0869184588097462</v>
      </c>
      <c r="P35" s="27">
        <f>AVERAGE(I35/I27*100,L35/L27*100)</f>
        <v>100.00307025623482</v>
      </c>
      <c r="Q35" s="27">
        <f>STDEV(I35/I27*100,L35/L27*100)</f>
        <v>0.59237258527257919</v>
      </c>
    </row>
    <row r="37" spans="1:17" x14ac:dyDescent="0.2">
      <c r="A37" s="37" t="s">
        <v>41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</row>
    <row r="38" spans="1:17" ht="34" x14ac:dyDescent="0.2">
      <c r="A38" s="10" t="s">
        <v>19</v>
      </c>
      <c r="B38" s="10" t="s">
        <v>26</v>
      </c>
      <c r="C38" s="10" t="s">
        <v>27</v>
      </c>
      <c r="D38" s="10" t="s">
        <v>28</v>
      </c>
      <c r="E38" s="10" t="s">
        <v>4</v>
      </c>
      <c r="F38" s="10" t="s">
        <v>29</v>
      </c>
      <c r="G38" s="10" t="s">
        <v>30</v>
      </c>
      <c r="H38" s="10" t="s">
        <v>31</v>
      </c>
      <c r="I38" s="10" t="s">
        <v>32</v>
      </c>
      <c r="J38" s="10" t="s">
        <v>33</v>
      </c>
      <c r="K38" s="10" t="s">
        <v>34</v>
      </c>
      <c r="L38" s="10" t="s">
        <v>35</v>
      </c>
      <c r="M38" s="10" t="s">
        <v>36</v>
      </c>
      <c r="N38" s="10" t="s">
        <v>37</v>
      </c>
      <c r="O38" s="10" t="s">
        <v>38</v>
      </c>
      <c r="P38" s="10" t="s">
        <v>43</v>
      </c>
      <c r="Q38" s="10" t="s">
        <v>44</v>
      </c>
    </row>
    <row r="39" spans="1:17" x14ac:dyDescent="0.2">
      <c r="A39" s="20" t="s">
        <v>5</v>
      </c>
      <c r="B39" s="21">
        <v>12</v>
      </c>
      <c r="C39" s="21" t="s">
        <v>39</v>
      </c>
      <c r="D39" s="21">
        <v>300</v>
      </c>
      <c r="E39" s="21">
        <v>5</v>
      </c>
      <c r="F39" s="21">
        <v>1</v>
      </c>
      <c r="G39" s="21">
        <v>47.7</v>
      </c>
      <c r="H39" s="21"/>
      <c r="I39" s="21">
        <f t="shared" ref="I39:I44" si="15">(G39/1000)/($B$2*F39)</f>
        <v>32.573409728937115</v>
      </c>
      <c r="J39" s="21">
        <v>48.4</v>
      </c>
      <c r="K39" s="21"/>
      <c r="L39" s="21">
        <f t="shared" ref="L39:L44" si="16">(J39/1000)/($B$2*F39)</f>
        <v>33.051426223911029</v>
      </c>
      <c r="M39" s="21">
        <f t="shared" ref="M39:M44" si="17">AVERAGE(I39,L39)</f>
        <v>32.812417976424072</v>
      </c>
      <c r="N39" s="21">
        <f t="shared" ref="N39:N44" si="18">STDEV(I39,L39)</f>
        <v>0.33800870511508019</v>
      </c>
      <c r="O39" s="21">
        <f t="shared" ref="O39:O44" si="19">M39/B39</f>
        <v>2.7343681647020062</v>
      </c>
      <c r="P39" s="21"/>
      <c r="Q39" s="21"/>
    </row>
    <row r="40" spans="1:17" x14ac:dyDescent="0.2">
      <c r="A40" s="22" t="s">
        <v>5</v>
      </c>
      <c r="B40" s="23">
        <v>12</v>
      </c>
      <c r="C40" s="23" t="s">
        <v>42</v>
      </c>
      <c r="D40" s="23">
        <v>60</v>
      </c>
      <c r="E40" s="23">
        <v>1</v>
      </c>
      <c r="F40" s="23">
        <v>1</v>
      </c>
      <c r="G40" s="23">
        <v>42</v>
      </c>
      <c r="H40" s="23">
        <f>$B$3-G40</f>
        <v>208</v>
      </c>
      <c r="I40" s="23">
        <f t="shared" si="15"/>
        <v>28.680989698435191</v>
      </c>
      <c r="J40" s="23">
        <v>42.4</v>
      </c>
      <c r="K40" s="23">
        <f>$B$3-J40</f>
        <v>207.6</v>
      </c>
      <c r="L40" s="23">
        <f t="shared" si="16"/>
        <v>28.954141981277431</v>
      </c>
      <c r="M40" s="23">
        <f t="shared" si="17"/>
        <v>28.817565839856311</v>
      </c>
      <c r="N40" s="23">
        <f t="shared" si="18"/>
        <v>0.19314783149433368</v>
      </c>
      <c r="O40" s="23">
        <f t="shared" si="19"/>
        <v>2.401463819988026</v>
      </c>
      <c r="P40" s="23"/>
      <c r="Q40" s="23"/>
    </row>
    <row r="41" spans="1:17" x14ac:dyDescent="0.2">
      <c r="A41" s="22" t="s">
        <v>5</v>
      </c>
      <c r="B41" s="23">
        <v>12</v>
      </c>
      <c r="C41" s="23" t="s">
        <v>42</v>
      </c>
      <c r="D41" s="23">
        <v>120</v>
      </c>
      <c r="E41" s="23">
        <v>2</v>
      </c>
      <c r="F41" s="23">
        <v>1</v>
      </c>
      <c r="G41" s="23">
        <v>33.5</v>
      </c>
      <c r="H41" s="23">
        <f>H40-G41</f>
        <v>174.5</v>
      </c>
      <c r="I41" s="23">
        <f t="shared" si="15"/>
        <v>22.876503688037594</v>
      </c>
      <c r="J41" s="23">
        <v>35</v>
      </c>
      <c r="K41" s="23">
        <f>K40-J41</f>
        <v>172.6</v>
      </c>
      <c r="L41" s="23">
        <f t="shared" si="16"/>
        <v>23.900824748695992</v>
      </c>
      <c r="M41" s="23">
        <f t="shared" si="17"/>
        <v>23.388664218366792</v>
      </c>
      <c r="N41" s="23">
        <f t="shared" si="18"/>
        <v>0.72430436810374998</v>
      </c>
      <c r="O41" s="23">
        <f t="shared" si="19"/>
        <v>1.949055351530566</v>
      </c>
      <c r="P41" s="23"/>
      <c r="Q41" s="23"/>
    </row>
    <row r="42" spans="1:17" x14ac:dyDescent="0.2">
      <c r="A42" s="22" t="s">
        <v>5</v>
      </c>
      <c r="B42" s="23">
        <v>12</v>
      </c>
      <c r="C42" s="23" t="s">
        <v>42</v>
      </c>
      <c r="D42" s="23">
        <v>180</v>
      </c>
      <c r="E42" s="23">
        <v>3</v>
      </c>
      <c r="F42" s="23">
        <v>1</v>
      </c>
      <c r="G42" s="23">
        <v>30.4</v>
      </c>
      <c r="H42" s="23">
        <f>H41-G42</f>
        <v>144.1</v>
      </c>
      <c r="I42" s="23">
        <f t="shared" si="15"/>
        <v>20.759573496010233</v>
      </c>
      <c r="J42" s="23">
        <v>31.4</v>
      </c>
      <c r="K42" s="23">
        <f>K41-J42</f>
        <v>141.19999999999999</v>
      </c>
      <c r="L42" s="23">
        <f t="shared" si="16"/>
        <v>21.44245420311583</v>
      </c>
      <c r="M42" s="23">
        <f t="shared" si="17"/>
        <v>21.101013849563031</v>
      </c>
      <c r="N42" s="23">
        <f t="shared" si="18"/>
        <v>0.48286957873583169</v>
      </c>
      <c r="O42" s="23">
        <f t="shared" si="19"/>
        <v>1.7584178207969192</v>
      </c>
      <c r="P42" s="23"/>
      <c r="Q42" s="23"/>
    </row>
    <row r="43" spans="1:17" x14ac:dyDescent="0.2">
      <c r="A43" s="22" t="s">
        <v>5</v>
      </c>
      <c r="B43" s="23">
        <v>12</v>
      </c>
      <c r="C43" s="23" t="s">
        <v>42</v>
      </c>
      <c r="D43" s="23">
        <v>240</v>
      </c>
      <c r="E43" s="23">
        <v>4</v>
      </c>
      <c r="F43" s="23">
        <v>1</v>
      </c>
      <c r="G43" s="23">
        <v>22.6</v>
      </c>
      <c r="H43" s="23">
        <f>H42-G43</f>
        <v>121.5</v>
      </c>
      <c r="I43" s="23">
        <f t="shared" si="15"/>
        <v>15.433103980586555</v>
      </c>
      <c r="J43" s="23">
        <v>24</v>
      </c>
      <c r="K43" s="23">
        <f>K42-J43</f>
        <v>117.19999999999999</v>
      </c>
      <c r="L43" s="23">
        <f t="shared" si="16"/>
        <v>16.389136970534395</v>
      </c>
      <c r="M43" s="23">
        <f t="shared" si="17"/>
        <v>15.911120475560475</v>
      </c>
      <c r="N43" s="23">
        <f t="shared" si="18"/>
        <v>0.67601741023016781</v>
      </c>
      <c r="O43" s="23">
        <f t="shared" si="19"/>
        <v>1.3259267062967062</v>
      </c>
      <c r="P43" s="23"/>
      <c r="Q43" s="23"/>
    </row>
    <row r="44" spans="1:17" x14ac:dyDescent="0.2">
      <c r="A44" s="22" t="s">
        <v>5</v>
      </c>
      <c r="B44" s="23">
        <v>12</v>
      </c>
      <c r="C44" s="23" t="s">
        <v>42</v>
      </c>
      <c r="D44" s="23">
        <v>300</v>
      </c>
      <c r="E44" s="23">
        <v>5</v>
      </c>
      <c r="F44" s="23">
        <v>1</v>
      </c>
      <c r="G44" s="23">
        <v>20</v>
      </c>
      <c r="H44" s="23">
        <f>H43-G44</f>
        <v>101.5</v>
      </c>
      <c r="I44" s="23">
        <f t="shared" si="15"/>
        <v>13.657614142111996</v>
      </c>
      <c r="J44" s="23">
        <v>21</v>
      </c>
      <c r="K44" s="23">
        <f>K43-J44</f>
        <v>96.199999999999989</v>
      </c>
      <c r="L44" s="23">
        <f t="shared" si="16"/>
        <v>14.340494849217595</v>
      </c>
      <c r="M44" s="23">
        <f t="shared" si="17"/>
        <v>13.999054495664796</v>
      </c>
      <c r="N44" s="23">
        <f t="shared" si="18"/>
        <v>0.48286957873583419</v>
      </c>
      <c r="O44" s="23">
        <f t="shared" si="19"/>
        <v>1.166587874638733</v>
      </c>
      <c r="P44" s="23"/>
      <c r="Q44" s="23"/>
    </row>
    <row r="45" spans="1:17" x14ac:dyDescent="0.2">
      <c r="A45" s="24" t="s">
        <v>5</v>
      </c>
      <c r="B45" s="25">
        <v>0</v>
      </c>
      <c r="C45" s="25" t="s">
        <v>48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</row>
    <row r="46" spans="1:17" x14ac:dyDescent="0.2">
      <c r="A46" s="26" t="s">
        <v>5</v>
      </c>
      <c r="B46" s="27">
        <v>12</v>
      </c>
      <c r="C46" s="27" t="s">
        <v>46</v>
      </c>
      <c r="D46" s="27">
        <v>60</v>
      </c>
      <c r="E46" s="27">
        <v>1</v>
      </c>
      <c r="F46" s="27">
        <v>1</v>
      </c>
      <c r="G46" s="27">
        <v>42.5</v>
      </c>
      <c r="H46" s="27">
        <f>$B$3-G46</f>
        <v>207.5</v>
      </c>
      <c r="I46" s="27">
        <f t="shared" ref="I46:I53" si="20">(G46/1000)/($B$2*F46)</f>
        <v>29.022430051987993</v>
      </c>
      <c r="J46" s="27">
        <v>43.1</v>
      </c>
      <c r="K46" s="27">
        <f>$B$3-J46</f>
        <v>206.9</v>
      </c>
      <c r="L46" s="27">
        <f t="shared" ref="L46:L53" si="21">(J46/1000)/($B$2*F46)</f>
        <v>29.432158476251349</v>
      </c>
      <c r="M46" s="27">
        <f t="shared" ref="M46:M53" si="22">AVERAGE(I46,L46)</f>
        <v>29.227294264119671</v>
      </c>
      <c r="N46" s="27">
        <f t="shared" ref="N46:N53" si="23">STDEV(I46,L46)</f>
        <v>0.28972174724149802</v>
      </c>
      <c r="O46" s="27">
        <f t="shared" ref="O46:O53" si="24">M46/B46</f>
        <v>2.435607855343306</v>
      </c>
      <c r="P46" s="27"/>
      <c r="Q46" s="27"/>
    </row>
    <row r="47" spans="1:17" x14ac:dyDescent="0.2">
      <c r="A47" s="26" t="s">
        <v>5</v>
      </c>
      <c r="B47" s="27">
        <v>12</v>
      </c>
      <c r="C47" s="27" t="s">
        <v>46</v>
      </c>
      <c r="D47" s="27">
        <v>120</v>
      </c>
      <c r="E47" s="27">
        <v>2</v>
      </c>
      <c r="F47" s="27">
        <v>1</v>
      </c>
      <c r="G47" s="27">
        <v>41.8</v>
      </c>
      <c r="H47" s="27">
        <f>H46-G47</f>
        <v>165.7</v>
      </c>
      <c r="I47" s="27">
        <f t="shared" si="20"/>
        <v>28.544413557014067</v>
      </c>
      <c r="J47" s="27">
        <v>41.8</v>
      </c>
      <c r="K47" s="27">
        <f>K46-J47</f>
        <v>165.10000000000002</v>
      </c>
      <c r="L47" s="27">
        <f t="shared" si="21"/>
        <v>28.544413557014067</v>
      </c>
      <c r="M47" s="27">
        <f t="shared" si="22"/>
        <v>28.544413557014067</v>
      </c>
      <c r="N47" s="27">
        <f t="shared" si="23"/>
        <v>0</v>
      </c>
      <c r="O47" s="27">
        <f t="shared" si="24"/>
        <v>2.3787011297511724</v>
      </c>
      <c r="P47" s="27">
        <f>AVERAGE(I47/I39*100,L47/L39*100)</f>
        <v>86.997331808652547</v>
      </c>
      <c r="Q47" s="27">
        <f>STDEV(I47/I39*100,L47/L39*100)</f>
        <v>0.89618069275594547</v>
      </c>
    </row>
    <row r="48" spans="1:17" x14ac:dyDescent="0.2">
      <c r="A48" s="20" t="s">
        <v>1</v>
      </c>
      <c r="B48" s="21">
        <v>30</v>
      </c>
      <c r="C48" s="21" t="s">
        <v>39</v>
      </c>
      <c r="D48" s="21">
        <v>300</v>
      </c>
      <c r="E48" s="21">
        <v>5</v>
      </c>
      <c r="F48" s="21">
        <v>1</v>
      </c>
      <c r="G48" s="21">
        <v>47.8</v>
      </c>
      <c r="H48" s="21"/>
      <c r="I48" s="21">
        <f t="shared" si="20"/>
        <v>32.641697799647666</v>
      </c>
      <c r="J48" s="21">
        <v>48.3</v>
      </c>
      <c r="K48" s="21"/>
      <c r="L48" s="21">
        <f t="shared" si="21"/>
        <v>32.983138153200464</v>
      </c>
      <c r="M48" s="21">
        <f t="shared" si="22"/>
        <v>32.812417976424065</v>
      </c>
      <c r="N48" s="21">
        <f t="shared" si="23"/>
        <v>0.24143478936791585</v>
      </c>
      <c r="O48" s="21">
        <f t="shared" si="24"/>
        <v>1.0937472658808021</v>
      </c>
      <c r="P48" s="21"/>
      <c r="Q48" s="21"/>
    </row>
    <row r="49" spans="1:17" x14ac:dyDescent="0.2">
      <c r="A49" s="22" t="s">
        <v>1</v>
      </c>
      <c r="B49" s="23">
        <v>30</v>
      </c>
      <c r="C49" s="23" t="s">
        <v>42</v>
      </c>
      <c r="D49" s="23">
        <v>60</v>
      </c>
      <c r="E49" s="23">
        <v>1</v>
      </c>
      <c r="F49" s="23">
        <v>1</v>
      </c>
      <c r="G49" s="23">
        <v>42</v>
      </c>
      <c r="H49" s="23">
        <f>$B$3-G49</f>
        <v>208</v>
      </c>
      <c r="I49" s="23">
        <f t="shared" si="20"/>
        <v>28.680989698435191</v>
      </c>
      <c r="J49" s="23">
        <v>42.4</v>
      </c>
      <c r="K49" s="23">
        <f>$B$3-J49</f>
        <v>207.6</v>
      </c>
      <c r="L49" s="23">
        <f t="shared" si="21"/>
        <v>28.954141981277431</v>
      </c>
      <c r="M49" s="23">
        <f t="shared" si="22"/>
        <v>28.817565839856311</v>
      </c>
      <c r="N49" s="23">
        <f t="shared" si="23"/>
        <v>0.19314783149433368</v>
      </c>
      <c r="O49" s="23">
        <f t="shared" si="24"/>
        <v>0.96058552799521035</v>
      </c>
      <c r="P49" s="23"/>
      <c r="Q49" s="23"/>
    </row>
    <row r="50" spans="1:17" x14ac:dyDescent="0.2">
      <c r="A50" s="22" t="s">
        <v>1</v>
      </c>
      <c r="B50" s="23">
        <v>30</v>
      </c>
      <c r="C50" s="23" t="s">
        <v>42</v>
      </c>
      <c r="D50" s="23">
        <v>120</v>
      </c>
      <c r="E50" s="23">
        <v>2</v>
      </c>
      <c r="F50" s="23">
        <v>1</v>
      </c>
      <c r="G50" s="23">
        <v>37.799999999999997</v>
      </c>
      <c r="H50" s="23">
        <f>H49-G50</f>
        <v>170.2</v>
      </c>
      <c r="I50" s="23">
        <f t="shared" si="20"/>
        <v>25.812890728591672</v>
      </c>
      <c r="J50" s="23">
        <v>39.200000000000003</v>
      </c>
      <c r="K50" s="23">
        <f>K49-J50</f>
        <v>168.39999999999998</v>
      </c>
      <c r="L50" s="23">
        <f t="shared" si="21"/>
        <v>26.768923718539515</v>
      </c>
      <c r="M50" s="23">
        <f t="shared" si="22"/>
        <v>26.290907223565593</v>
      </c>
      <c r="N50" s="23">
        <f t="shared" si="23"/>
        <v>0.67601741023017037</v>
      </c>
      <c r="O50" s="23">
        <f t="shared" si="24"/>
        <v>0.87636357411885313</v>
      </c>
      <c r="P50" s="23"/>
      <c r="Q50" s="23"/>
    </row>
    <row r="51" spans="1:17" x14ac:dyDescent="0.2">
      <c r="A51" s="22" t="s">
        <v>1</v>
      </c>
      <c r="B51" s="23">
        <v>30</v>
      </c>
      <c r="C51" s="23" t="s">
        <v>42</v>
      </c>
      <c r="D51" s="23">
        <v>180</v>
      </c>
      <c r="E51" s="23">
        <v>3</v>
      </c>
      <c r="F51" s="23">
        <v>1</v>
      </c>
      <c r="G51" s="23">
        <v>34.299999999999997</v>
      </c>
      <c r="H51" s="23">
        <f>H50-G51</f>
        <v>135.89999999999998</v>
      </c>
      <c r="I51" s="23">
        <f t="shared" si="20"/>
        <v>23.422808253722071</v>
      </c>
      <c r="J51" s="23">
        <v>34.799999999999997</v>
      </c>
      <c r="K51" s="23">
        <f>K50-J51</f>
        <v>133.59999999999997</v>
      </c>
      <c r="L51" s="23">
        <f t="shared" si="21"/>
        <v>23.764248607274869</v>
      </c>
      <c r="M51" s="23">
        <f t="shared" si="22"/>
        <v>23.59352843049847</v>
      </c>
      <c r="N51" s="23">
        <f t="shared" si="23"/>
        <v>0.24143478936791585</v>
      </c>
      <c r="O51" s="23">
        <f t="shared" si="24"/>
        <v>0.78645094768328228</v>
      </c>
      <c r="P51" s="23"/>
      <c r="Q51" s="23"/>
    </row>
    <row r="52" spans="1:17" x14ac:dyDescent="0.2">
      <c r="A52" s="22" t="s">
        <v>1</v>
      </c>
      <c r="B52" s="23">
        <v>30</v>
      </c>
      <c r="C52" s="23" t="s">
        <v>42</v>
      </c>
      <c r="D52" s="23">
        <v>240</v>
      </c>
      <c r="E52" s="23">
        <v>4</v>
      </c>
      <c r="F52" s="23">
        <v>1</v>
      </c>
      <c r="G52" s="23">
        <v>32</v>
      </c>
      <c r="H52" s="23">
        <f>H51-G52</f>
        <v>103.89999999999998</v>
      </c>
      <c r="I52" s="23">
        <f t="shared" si="20"/>
        <v>21.852182627379193</v>
      </c>
      <c r="J52" s="23">
        <v>33</v>
      </c>
      <c r="K52" s="23">
        <f>K51-J52</f>
        <v>100.59999999999997</v>
      </c>
      <c r="L52" s="23">
        <f t="shared" si="21"/>
        <v>22.535063334484793</v>
      </c>
      <c r="M52" s="23">
        <f t="shared" si="22"/>
        <v>22.193622980931991</v>
      </c>
      <c r="N52" s="23">
        <f t="shared" si="23"/>
        <v>0.48286957873583419</v>
      </c>
      <c r="O52" s="23">
        <f t="shared" si="24"/>
        <v>0.73978743269773306</v>
      </c>
      <c r="P52" s="23"/>
      <c r="Q52" s="23"/>
    </row>
    <row r="53" spans="1:17" x14ac:dyDescent="0.2">
      <c r="A53" s="22" t="s">
        <v>1</v>
      </c>
      <c r="B53" s="23">
        <v>30</v>
      </c>
      <c r="C53" s="23" t="s">
        <v>42</v>
      </c>
      <c r="D53" s="23">
        <v>300</v>
      </c>
      <c r="E53" s="23">
        <v>5</v>
      </c>
      <c r="F53" s="23">
        <v>1</v>
      </c>
      <c r="G53" s="23">
        <v>30.7</v>
      </c>
      <c r="H53" s="23">
        <f>H52-G53</f>
        <v>73.199999999999974</v>
      </c>
      <c r="I53" s="23">
        <f t="shared" si="20"/>
        <v>20.964437708141912</v>
      </c>
      <c r="J53" s="23">
        <v>31.1</v>
      </c>
      <c r="K53" s="23">
        <f>K52-J53</f>
        <v>69.499999999999972</v>
      </c>
      <c r="L53" s="23">
        <f t="shared" si="21"/>
        <v>21.237589990984155</v>
      </c>
      <c r="M53" s="23">
        <f t="shared" si="22"/>
        <v>21.101013849563031</v>
      </c>
      <c r="N53" s="23">
        <f t="shared" si="23"/>
        <v>0.19314783149433618</v>
      </c>
      <c r="O53" s="23">
        <f t="shared" si="24"/>
        <v>0.70336712831876769</v>
      </c>
      <c r="P53" s="23"/>
      <c r="Q53" s="23"/>
    </row>
    <row r="54" spans="1:17" x14ac:dyDescent="0.2">
      <c r="A54" s="24" t="s">
        <v>1</v>
      </c>
      <c r="B54" s="25">
        <v>0</v>
      </c>
      <c r="C54" s="25" t="s">
        <v>48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</row>
    <row r="55" spans="1:17" x14ac:dyDescent="0.2">
      <c r="A55" s="26" t="s">
        <v>1</v>
      </c>
      <c r="B55" s="27">
        <v>30</v>
      </c>
      <c r="C55" s="27" t="s">
        <v>46</v>
      </c>
      <c r="D55" s="27">
        <v>60</v>
      </c>
      <c r="E55" s="27">
        <v>1</v>
      </c>
      <c r="F55" s="27">
        <v>1</v>
      </c>
      <c r="G55" s="27">
        <v>43.9</v>
      </c>
      <c r="H55" s="27">
        <f>$B$3-G55</f>
        <v>206.1</v>
      </c>
      <c r="I55" s="27">
        <f t="shared" ref="I55:I62" si="25">(G55/1000)/($B$2*F55)</f>
        <v>29.978463041935829</v>
      </c>
      <c r="J55" s="27">
        <v>44.6</v>
      </c>
      <c r="K55" s="27">
        <f>$B$3-J55</f>
        <v>205.4</v>
      </c>
      <c r="L55" s="27">
        <f t="shared" ref="L55:L62" si="26">(J55/1000)/($B$2*F55)</f>
        <v>30.45647953690975</v>
      </c>
      <c r="M55" s="27">
        <f t="shared" ref="M55:M62" si="27">AVERAGE(I55,L55)</f>
        <v>30.217471289422789</v>
      </c>
      <c r="N55" s="27">
        <f t="shared" ref="N55:N62" si="28">STDEV(I55,L55)</f>
        <v>0.33800870511508518</v>
      </c>
      <c r="O55" s="27">
        <f t="shared" ref="O55:O62" si="29">M55/B55</f>
        <v>1.0072490429807597</v>
      </c>
      <c r="P55" s="27"/>
      <c r="Q55" s="27"/>
    </row>
    <row r="56" spans="1:17" x14ac:dyDescent="0.2">
      <c r="A56" s="26" t="s">
        <v>1</v>
      </c>
      <c r="B56" s="27">
        <v>30</v>
      </c>
      <c r="C56" s="27" t="s">
        <v>46</v>
      </c>
      <c r="D56" s="27">
        <v>120</v>
      </c>
      <c r="E56" s="27">
        <v>2</v>
      </c>
      <c r="F56" s="27">
        <v>1</v>
      </c>
      <c r="G56" s="27">
        <v>42.7</v>
      </c>
      <c r="H56" s="27">
        <f>H55-G56</f>
        <v>163.39999999999998</v>
      </c>
      <c r="I56" s="27">
        <f t="shared" si="25"/>
        <v>29.159006193409112</v>
      </c>
      <c r="J56" s="27">
        <v>43.8</v>
      </c>
      <c r="K56" s="27">
        <f>K55-J56</f>
        <v>161.60000000000002</v>
      </c>
      <c r="L56" s="27">
        <f t="shared" si="26"/>
        <v>29.910174971225267</v>
      </c>
      <c r="M56" s="27">
        <f t="shared" si="27"/>
        <v>29.53459058231719</v>
      </c>
      <c r="N56" s="27">
        <f t="shared" si="28"/>
        <v>0.53115653660941387</v>
      </c>
      <c r="O56" s="27">
        <f t="shared" si="29"/>
        <v>0.98448635274390628</v>
      </c>
      <c r="P56" s="27">
        <f>AVERAGE(I56/I48*100,L56/L48*100)</f>
        <v>90.006886873359491</v>
      </c>
      <c r="Q56" s="27">
        <f>STDEV(I56/I48*100,L56/L48*100)</f>
        <v>0.95649335899476584</v>
      </c>
    </row>
    <row r="57" spans="1:17" x14ac:dyDescent="0.2">
      <c r="A57" s="20" t="s">
        <v>0</v>
      </c>
      <c r="B57" s="21">
        <v>30</v>
      </c>
      <c r="C57" s="21" t="s">
        <v>39</v>
      </c>
      <c r="D57" s="21">
        <v>300</v>
      </c>
      <c r="E57" s="21">
        <v>5</v>
      </c>
      <c r="F57" s="21">
        <v>1</v>
      </c>
      <c r="G57" s="21">
        <v>48</v>
      </c>
      <c r="H57" s="21"/>
      <c r="I57" s="21">
        <f t="shared" si="25"/>
        <v>32.77827394106879</v>
      </c>
      <c r="J57" s="21">
        <v>48.6</v>
      </c>
      <c r="K57" s="21"/>
      <c r="L57" s="21">
        <f t="shared" si="26"/>
        <v>33.188002365332153</v>
      </c>
      <c r="M57" s="21">
        <f t="shared" si="27"/>
        <v>32.983138153200471</v>
      </c>
      <c r="N57" s="21">
        <f t="shared" si="28"/>
        <v>0.28972174724150301</v>
      </c>
      <c r="O57" s="21">
        <f t="shared" si="29"/>
        <v>1.0994379384400157</v>
      </c>
      <c r="P57" s="21"/>
      <c r="Q57" s="21"/>
    </row>
    <row r="58" spans="1:17" x14ac:dyDescent="0.2">
      <c r="A58" s="22" t="s">
        <v>0</v>
      </c>
      <c r="B58" s="23">
        <v>30</v>
      </c>
      <c r="C58" s="23" t="s">
        <v>42</v>
      </c>
      <c r="D58" s="23">
        <v>60</v>
      </c>
      <c r="E58" s="23">
        <v>1</v>
      </c>
      <c r="F58" s="23">
        <v>1</v>
      </c>
      <c r="G58" s="23">
        <v>43.6</v>
      </c>
      <c r="H58" s="23">
        <f>$B$3-G58</f>
        <v>206.4</v>
      </c>
      <c r="I58" s="23">
        <f t="shared" si="25"/>
        <v>29.773598829804151</v>
      </c>
      <c r="J58" s="23">
        <v>44</v>
      </c>
      <c r="K58" s="23">
        <f>$B$3-J58</f>
        <v>206</v>
      </c>
      <c r="L58" s="23">
        <f t="shared" si="26"/>
        <v>30.046751112646387</v>
      </c>
      <c r="M58" s="23">
        <f t="shared" si="27"/>
        <v>29.910174971225267</v>
      </c>
      <c r="N58" s="23">
        <f t="shared" si="28"/>
        <v>0.19314783149433118</v>
      </c>
      <c r="O58" s="23">
        <f t="shared" si="29"/>
        <v>0.99700583237417562</v>
      </c>
      <c r="P58" s="23"/>
      <c r="Q58" s="23"/>
    </row>
    <row r="59" spans="1:17" x14ac:dyDescent="0.2">
      <c r="A59" s="22" t="s">
        <v>0</v>
      </c>
      <c r="B59" s="23">
        <v>30</v>
      </c>
      <c r="C59" s="23" t="s">
        <v>42</v>
      </c>
      <c r="D59" s="23">
        <v>120</v>
      </c>
      <c r="E59" s="23">
        <v>2</v>
      </c>
      <c r="F59" s="23">
        <v>1</v>
      </c>
      <c r="G59" s="23">
        <v>42.4</v>
      </c>
      <c r="H59" s="23">
        <f>H58-G59</f>
        <v>164</v>
      </c>
      <c r="I59" s="23">
        <f t="shared" si="25"/>
        <v>28.954141981277431</v>
      </c>
      <c r="J59" s="23">
        <v>42.8</v>
      </c>
      <c r="K59" s="23">
        <f>K58-J59</f>
        <v>163.19999999999999</v>
      </c>
      <c r="L59" s="23">
        <f t="shared" si="26"/>
        <v>29.227294264119667</v>
      </c>
      <c r="M59" s="23">
        <f t="shared" si="27"/>
        <v>29.090718122698547</v>
      </c>
      <c r="N59" s="23">
        <f t="shared" si="28"/>
        <v>0.19314783149433118</v>
      </c>
      <c r="O59" s="23">
        <f t="shared" si="29"/>
        <v>0.96969060408995156</v>
      </c>
      <c r="P59" s="23"/>
      <c r="Q59" s="23"/>
    </row>
    <row r="60" spans="1:17" x14ac:dyDescent="0.2">
      <c r="A60" s="22" t="s">
        <v>0</v>
      </c>
      <c r="B60" s="23">
        <v>30</v>
      </c>
      <c r="C60" s="23" t="s">
        <v>42</v>
      </c>
      <c r="D60" s="23">
        <v>180</v>
      </c>
      <c r="E60" s="23">
        <v>3</v>
      </c>
      <c r="F60" s="23">
        <v>1</v>
      </c>
      <c r="G60" s="23">
        <v>38.700000000000003</v>
      </c>
      <c r="H60" s="23">
        <f>H59-G60</f>
        <v>125.3</v>
      </c>
      <c r="I60" s="23">
        <f t="shared" si="25"/>
        <v>26.427483364986713</v>
      </c>
      <c r="J60" s="23">
        <v>39.200000000000003</v>
      </c>
      <c r="K60" s="23">
        <f>K59-J60</f>
        <v>123.99999999999999</v>
      </c>
      <c r="L60" s="23">
        <f t="shared" si="26"/>
        <v>26.768923718539515</v>
      </c>
      <c r="M60" s="23">
        <f t="shared" si="27"/>
        <v>26.598203541763112</v>
      </c>
      <c r="N60" s="23">
        <f t="shared" si="28"/>
        <v>0.24143478936791835</v>
      </c>
      <c r="O60" s="23">
        <f t="shared" si="29"/>
        <v>0.88660678472543708</v>
      </c>
      <c r="P60" s="23"/>
      <c r="Q60" s="23"/>
    </row>
    <row r="61" spans="1:17" x14ac:dyDescent="0.2">
      <c r="A61" s="22" t="s">
        <v>0</v>
      </c>
      <c r="B61" s="23">
        <v>30</v>
      </c>
      <c r="C61" s="23" t="s">
        <v>42</v>
      </c>
      <c r="D61" s="23">
        <v>240</v>
      </c>
      <c r="E61" s="23">
        <v>4</v>
      </c>
      <c r="F61" s="23">
        <v>1</v>
      </c>
      <c r="G61" s="23">
        <v>34.799999999999997</v>
      </c>
      <c r="H61" s="23">
        <f>H60-G61</f>
        <v>90.5</v>
      </c>
      <c r="I61" s="23">
        <f t="shared" si="25"/>
        <v>23.764248607274869</v>
      </c>
      <c r="J61" s="23">
        <v>36.1</v>
      </c>
      <c r="K61" s="23">
        <f>K60-J61</f>
        <v>87.899999999999977</v>
      </c>
      <c r="L61" s="23">
        <f t="shared" si="26"/>
        <v>24.65199352651215</v>
      </c>
      <c r="M61" s="23">
        <f t="shared" si="27"/>
        <v>24.208121066893511</v>
      </c>
      <c r="N61" s="23">
        <f t="shared" si="28"/>
        <v>0.62773045235658564</v>
      </c>
      <c r="O61" s="23">
        <f t="shared" si="29"/>
        <v>0.8069373688964504</v>
      </c>
      <c r="P61" s="23"/>
      <c r="Q61" s="23"/>
    </row>
    <row r="62" spans="1:17" x14ac:dyDescent="0.2">
      <c r="A62" s="22" t="s">
        <v>0</v>
      </c>
      <c r="B62" s="23">
        <v>30</v>
      </c>
      <c r="C62" s="23" t="s">
        <v>42</v>
      </c>
      <c r="D62" s="23">
        <v>300</v>
      </c>
      <c r="E62" s="23">
        <v>5</v>
      </c>
      <c r="F62" s="23">
        <v>1</v>
      </c>
      <c r="G62" s="23">
        <v>34.6</v>
      </c>
      <c r="H62" s="23">
        <f>H61-G62</f>
        <v>55.9</v>
      </c>
      <c r="I62" s="23">
        <f t="shared" si="25"/>
        <v>23.627672465853749</v>
      </c>
      <c r="J62" s="23">
        <v>35.1</v>
      </c>
      <c r="K62" s="23">
        <f>K61-J62</f>
        <v>52.799999999999976</v>
      </c>
      <c r="L62" s="23">
        <f t="shared" si="26"/>
        <v>23.969112819406551</v>
      </c>
      <c r="M62" s="23">
        <f t="shared" si="27"/>
        <v>23.798392642630148</v>
      </c>
      <c r="N62" s="23">
        <f t="shared" si="28"/>
        <v>0.24143478936791835</v>
      </c>
      <c r="O62" s="23">
        <f t="shared" si="29"/>
        <v>0.79327975475433832</v>
      </c>
      <c r="P62" s="23"/>
      <c r="Q62" s="23"/>
    </row>
    <row r="63" spans="1:17" x14ac:dyDescent="0.2">
      <c r="A63" s="24" t="s">
        <v>0</v>
      </c>
      <c r="B63" s="25">
        <v>0</v>
      </c>
      <c r="C63" s="25" t="s">
        <v>48</v>
      </c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 spans="1:17" x14ac:dyDescent="0.2">
      <c r="A64" s="26" t="s">
        <v>0</v>
      </c>
      <c r="B64" s="27">
        <v>30</v>
      </c>
      <c r="C64" s="27" t="s">
        <v>46</v>
      </c>
      <c r="D64" s="27">
        <v>60</v>
      </c>
      <c r="E64" s="27">
        <v>1</v>
      </c>
      <c r="F64" s="27">
        <v>1</v>
      </c>
      <c r="G64" s="27">
        <v>49</v>
      </c>
      <c r="H64" s="27">
        <f>$B$3-G64</f>
        <v>201</v>
      </c>
      <c r="I64" s="27">
        <f>(G64/1000)/($B$2*F64)</f>
        <v>33.461154648174386</v>
      </c>
      <c r="J64" s="27">
        <v>49.6</v>
      </c>
      <c r="K64" s="27">
        <f>$B$3-J64</f>
        <v>200.4</v>
      </c>
      <c r="L64" s="27">
        <f>(J64/1000)/($B$2*F64)</f>
        <v>33.870883072437749</v>
      </c>
      <c r="M64" s="27">
        <f>AVERAGE(I64,L64)</f>
        <v>33.666018860306067</v>
      </c>
      <c r="N64" s="27">
        <f>STDEV(I64,L64)</f>
        <v>0.28972174724150301</v>
      </c>
      <c r="O64" s="27">
        <f>M64/B64</f>
        <v>1.1222006286768689</v>
      </c>
      <c r="P64" s="27"/>
      <c r="Q64" s="27"/>
    </row>
    <row r="65" spans="1:17" x14ac:dyDescent="0.2">
      <c r="A65" s="26" t="s">
        <v>0</v>
      </c>
      <c r="B65" s="27">
        <v>30</v>
      </c>
      <c r="C65" s="27" t="s">
        <v>46</v>
      </c>
      <c r="D65" s="27">
        <v>120</v>
      </c>
      <c r="E65" s="27">
        <v>2</v>
      </c>
      <c r="F65" s="27">
        <v>1</v>
      </c>
      <c r="G65" s="27">
        <v>48.2</v>
      </c>
      <c r="H65" s="27">
        <f>H64-G65</f>
        <v>152.80000000000001</v>
      </c>
      <c r="I65" s="27">
        <f>(G65/1000)/($B$2*F65)</f>
        <v>32.914850082489906</v>
      </c>
      <c r="J65" s="27">
        <v>48.4</v>
      </c>
      <c r="K65" s="27">
        <f>K64-J65</f>
        <v>152</v>
      </c>
      <c r="L65" s="27">
        <f>(J65/1000)/($B$2*F65)</f>
        <v>33.051426223911029</v>
      </c>
      <c r="M65" s="27">
        <f>AVERAGE(I65,L65)</f>
        <v>32.983138153200471</v>
      </c>
      <c r="N65" s="27">
        <f>STDEV(I65,L65)</f>
        <v>9.657391574716935E-2</v>
      </c>
      <c r="O65" s="27">
        <f>M65/B65</f>
        <v>1.0994379384400157</v>
      </c>
      <c r="P65" s="27">
        <f>AVERAGE(I65/I57*100,L65/L57*100)</f>
        <v>100.0025720164609</v>
      </c>
      <c r="Q65" s="27">
        <f>STDEV(I65/I57*100,L65/L57*100)</f>
        <v>0.58561827042714087</v>
      </c>
    </row>
  </sheetData>
  <mergeCells count="2">
    <mergeCell ref="A7:Q7"/>
    <mergeCell ref="A37:Q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0B4C-BF02-C241-9A8F-E58DCC962265}">
  <dimension ref="A1:R89"/>
  <sheetViews>
    <sheetView zoomScale="57" zoomScaleNormal="57" workbookViewId="0">
      <selection activeCell="S12" sqref="S12"/>
    </sheetView>
  </sheetViews>
  <sheetFormatPr baseColWidth="10" defaultColWidth="8.83203125" defaultRowHeight="16" x14ac:dyDescent="0.2"/>
  <cols>
    <col min="1" max="1" width="14" style="17" customWidth="1"/>
    <col min="2" max="2" width="13" style="17" customWidth="1"/>
    <col min="3" max="3" width="12" style="17" customWidth="1"/>
    <col min="4" max="4" width="23" style="17" customWidth="1"/>
    <col min="5" max="5" width="11" style="17" customWidth="1"/>
    <col min="6" max="6" width="8" style="17" customWidth="1"/>
    <col min="7" max="7" width="9" style="17" customWidth="1"/>
    <col min="8" max="8" width="19" style="17" customWidth="1"/>
    <col min="9" max="9" width="20" style="17" customWidth="1"/>
    <col min="10" max="10" width="15" style="17" customWidth="1"/>
    <col min="11" max="11" width="19" style="17" customWidth="1"/>
    <col min="12" max="12" width="20" style="17" customWidth="1"/>
    <col min="13" max="13" width="15" style="17" customWidth="1"/>
    <col min="14" max="14" width="16" style="17" customWidth="1"/>
    <col min="15" max="15" width="13" style="17" customWidth="1"/>
    <col min="16" max="16" width="19" style="17" customWidth="1"/>
    <col min="17" max="17" width="14" style="17" customWidth="1"/>
    <col min="18" max="18" width="16" style="17" customWidth="1"/>
    <col min="19" max="16384" width="8.83203125" style="17"/>
  </cols>
  <sheetData>
    <row r="1" spans="1:18" x14ac:dyDescent="0.2">
      <c r="A1" s="32" t="s">
        <v>17</v>
      </c>
      <c r="B1" s="32" t="s">
        <v>18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2">
      <c r="A2" s="19" t="s">
        <v>21</v>
      </c>
      <c r="B2" s="18">
        <v>1.464E-3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x14ac:dyDescent="0.2">
      <c r="A3" s="19" t="s">
        <v>49</v>
      </c>
      <c r="B3" s="19">
        <v>12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x14ac:dyDescent="0.2">
      <c r="A4" s="19" t="s">
        <v>50</v>
      </c>
      <c r="B4" s="19">
        <v>30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x14ac:dyDescent="0.2">
      <c r="A5" s="19" t="s">
        <v>51</v>
      </c>
      <c r="B5" s="19">
        <v>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 t="s">
        <v>22</v>
      </c>
      <c r="B6" s="19">
        <v>250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x14ac:dyDescent="0.2">
      <c r="A8" s="34" t="s">
        <v>52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</row>
    <row r="9" spans="1:18" ht="34" x14ac:dyDescent="0.2">
      <c r="A9" s="33" t="s">
        <v>19</v>
      </c>
      <c r="B9" s="33" t="s">
        <v>26</v>
      </c>
      <c r="C9" s="33" t="s">
        <v>53</v>
      </c>
      <c r="D9" s="33" t="s">
        <v>27</v>
      </c>
      <c r="E9" s="33" t="s">
        <v>28</v>
      </c>
      <c r="F9" s="33" t="s">
        <v>4</v>
      </c>
      <c r="G9" s="33" t="s">
        <v>29</v>
      </c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 t="s">
        <v>35</v>
      </c>
      <c r="N9" s="33" t="s">
        <v>36</v>
      </c>
      <c r="O9" s="33" t="s">
        <v>37</v>
      </c>
      <c r="P9" s="33" t="s">
        <v>38</v>
      </c>
      <c r="Q9" s="33" t="s">
        <v>54</v>
      </c>
      <c r="R9" s="33" t="s">
        <v>44</v>
      </c>
    </row>
    <row r="10" spans="1:18" x14ac:dyDescent="0.2">
      <c r="A10" s="21" t="s">
        <v>5</v>
      </c>
      <c r="B10" s="21">
        <v>12</v>
      </c>
      <c r="C10" s="21">
        <v>0</v>
      </c>
      <c r="D10" s="21" t="s">
        <v>39</v>
      </c>
      <c r="E10" s="21">
        <v>300</v>
      </c>
      <c r="F10" s="21">
        <v>5</v>
      </c>
      <c r="G10" s="21">
        <v>1</v>
      </c>
      <c r="H10" s="21">
        <v>47.3</v>
      </c>
      <c r="I10" s="21"/>
      <c r="J10" s="21">
        <f t="shared" ref="J10:J33" si="0">ROUND(H10/1000/$B$2/G10,1)</f>
        <v>32.299999999999997</v>
      </c>
      <c r="K10" s="21">
        <v>47.7</v>
      </c>
      <c r="L10" s="21"/>
      <c r="M10" s="21">
        <f t="shared" ref="M10:M33" si="1">ROUND(K10/1000/$B$2/G10,1)</f>
        <v>32.6</v>
      </c>
      <c r="N10" s="21">
        <f t="shared" ref="N10:N33" si="2">ROUND(AVERAGE(J10,M10),1)</f>
        <v>32.5</v>
      </c>
      <c r="O10" s="21">
        <f t="shared" ref="O10:O33" si="3">ROUND(STDEV(J10,M10),1)</f>
        <v>0.2</v>
      </c>
      <c r="P10" s="21">
        <f t="shared" ref="P10:P33" si="4">ROUND(N10/B10,1)</f>
        <v>2.7</v>
      </c>
      <c r="Q10" s="21"/>
      <c r="R10" s="21"/>
    </row>
    <row r="11" spans="1:18" x14ac:dyDescent="0.2">
      <c r="A11" s="23" t="s">
        <v>5</v>
      </c>
      <c r="B11" s="23">
        <v>12</v>
      </c>
      <c r="C11" s="23">
        <v>0</v>
      </c>
      <c r="D11" s="23" t="s">
        <v>40</v>
      </c>
      <c r="E11" s="23">
        <v>60</v>
      </c>
      <c r="F11" s="23">
        <v>1</v>
      </c>
      <c r="G11" s="23">
        <v>1</v>
      </c>
      <c r="H11" s="23">
        <v>43.5</v>
      </c>
      <c r="I11" s="23">
        <f>ROUND($B$6-H11,1)</f>
        <v>206.5</v>
      </c>
      <c r="J11" s="23">
        <f t="shared" si="0"/>
        <v>29.7</v>
      </c>
      <c r="K11" s="23">
        <v>42.9</v>
      </c>
      <c r="L11" s="23">
        <f>ROUND($B$6-K11,1)</f>
        <v>207.1</v>
      </c>
      <c r="M11" s="23">
        <f t="shared" si="1"/>
        <v>29.3</v>
      </c>
      <c r="N11" s="23">
        <f t="shared" si="2"/>
        <v>29.5</v>
      </c>
      <c r="O11" s="23">
        <f t="shared" si="3"/>
        <v>0.3</v>
      </c>
      <c r="P11" s="23">
        <f t="shared" si="4"/>
        <v>2.5</v>
      </c>
      <c r="Q11" s="23"/>
      <c r="R11" s="23"/>
    </row>
    <row r="12" spans="1:18" x14ac:dyDescent="0.2">
      <c r="A12" s="23" t="s">
        <v>5</v>
      </c>
      <c r="B12" s="23">
        <v>12</v>
      </c>
      <c r="C12" s="23">
        <v>0</v>
      </c>
      <c r="D12" s="23" t="s">
        <v>40</v>
      </c>
      <c r="E12" s="23">
        <v>120</v>
      </c>
      <c r="F12" s="23">
        <v>2</v>
      </c>
      <c r="G12" s="23">
        <v>1</v>
      </c>
      <c r="H12" s="23">
        <v>35.700000000000003</v>
      </c>
      <c r="I12" s="23">
        <f>ROUND(I11-H12,1)</f>
        <v>170.8</v>
      </c>
      <c r="J12" s="23">
        <f t="shared" si="0"/>
        <v>24.4</v>
      </c>
      <c r="K12" s="23">
        <v>36.4</v>
      </c>
      <c r="L12" s="23">
        <f>ROUND(L11-K12,1)</f>
        <v>170.7</v>
      </c>
      <c r="M12" s="23">
        <f t="shared" si="1"/>
        <v>24.9</v>
      </c>
      <c r="N12" s="23">
        <f t="shared" si="2"/>
        <v>24.7</v>
      </c>
      <c r="O12" s="23">
        <f t="shared" si="3"/>
        <v>0.4</v>
      </c>
      <c r="P12" s="23">
        <f t="shared" si="4"/>
        <v>2.1</v>
      </c>
      <c r="Q12" s="23"/>
      <c r="R12" s="23"/>
    </row>
    <row r="13" spans="1:18" x14ac:dyDescent="0.2">
      <c r="A13" s="23" t="s">
        <v>5</v>
      </c>
      <c r="B13" s="23">
        <v>12</v>
      </c>
      <c r="C13" s="23">
        <v>0</v>
      </c>
      <c r="D13" s="23" t="s">
        <v>40</v>
      </c>
      <c r="E13" s="23">
        <v>180</v>
      </c>
      <c r="F13" s="23">
        <v>3</v>
      </c>
      <c r="G13" s="23">
        <v>1</v>
      </c>
      <c r="H13" s="23">
        <v>32.799999999999997</v>
      </c>
      <c r="I13" s="23">
        <f>ROUND(I12-H13,1)</f>
        <v>138</v>
      </c>
      <c r="J13" s="23">
        <f t="shared" si="0"/>
        <v>22.4</v>
      </c>
      <c r="K13" s="23">
        <v>32</v>
      </c>
      <c r="L13" s="23">
        <f>ROUND(L12-K13,1)</f>
        <v>138.69999999999999</v>
      </c>
      <c r="M13" s="23">
        <f t="shared" si="1"/>
        <v>21.9</v>
      </c>
      <c r="N13" s="23">
        <f t="shared" si="2"/>
        <v>22.2</v>
      </c>
      <c r="O13" s="23">
        <f t="shared" si="3"/>
        <v>0.4</v>
      </c>
      <c r="P13" s="23">
        <f t="shared" si="4"/>
        <v>1.9</v>
      </c>
      <c r="Q13" s="23"/>
      <c r="R13" s="23"/>
    </row>
    <row r="14" spans="1:18" x14ac:dyDescent="0.2">
      <c r="A14" s="23" t="s">
        <v>5</v>
      </c>
      <c r="B14" s="23">
        <v>12</v>
      </c>
      <c r="C14" s="23">
        <v>0</v>
      </c>
      <c r="D14" s="23" t="s">
        <v>40</v>
      </c>
      <c r="E14" s="23">
        <v>240</v>
      </c>
      <c r="F14" s="23">
        <v>4</v>
      </c>
      <c r="G14" s="23">
        <v>1</v>
      </c>
      <c r="H14" s="23">
        <v>23.9</v>
      </c>
      <c r="I14" s="23">
        <f>ROUND(I13-H14,1)</f>
        <v>114.1</v>
      </c>
      <c r="J14" s="23">
        <f t="shared" si="0"/>
        <v>16.3</v>
      </c>
      <c r="K14" s="23">
        <v>24.9</v>
      </c>
      <c r="L14" s="23">
        <f>ROUND(L13-K14,1)</f>
        <v>113.8</v>
      </c>
      <c r="M14" s="23">
        <f t="shared" si="1"/>
        <v>17</v>
      </c>
      <c r="N14" s="23">
        <f t="shared" si="2"/>
        <v>16.7</v>
      </c>
      <c r="O14" s="23">
        <f t="shared" si="3"/>
        <v>0.5</v>
      </c>
      <c r="P14" s="23">
        <f t="shared" si="4"/>
        <v>1.4</v>
      </c>
      <c r="Q14" s="23"/>
      <c r="R14" s="23"/>
    </row>
    <row r="15" spans="1:18" x14ac:dyDescent="0.2">
      <c r="A15" s="23" t="s">
        <v>5</v>
      </c>
      <c r="B15" s="23">
        <v>12</v>
      </c>
      <c r="C15" s="23">
        <v>0</v>
      </c>
      <c r="D15" s="23" t="s">
        <v>40</v>
      </c>
      <c r="E15" s="23">
        <v>300</v>
      </c>
      <c r="F15" s="23">
        <v>5</v>
      </c>
      <c r="G15" s="23">
        <v>1</v>
      </c>
      <c r="H15" s="23">
        <v>21.9</v>
      </c>
      <c r="I15" s="23">
        <f>ROUND(I14-H15,1)</f>
        <v>92.2</v>
      </c>
      <c r="J15" s="23">
        <f t="shared" si="0"/>
        <v>15</v>
      </c>
      <c r="K15" s="23">
        <v>21.3</v>
      </c>
      <c r="L15" s="23">
        <f>ROUND(L14-K15,1)</f>
        <v>92.5</v>
      </c>
      <c r="M15" s="23">
        <f t="shared" si="1"/>
        <v>14.5</v>
      </c>
      <c r="N15" s="23">
        <f t="shared" si="2"/>
        <v>14.8</v>
      </c>
      <c r="O15" s="23">
        <f t="shared" si="3"/>
        <v>0.4</v>
      </c>
      <c r="P15" s="23">
        <f t="shared" si="4"/>
        <v>1.2</v>
      </c>
      <c r="Q15" s="23"/>
      <c r="R15" s="23"/>
    </row>
    <row r="16" spans="1:18" x14ac:dyDescent="0.2">
      <c r="A16" s="25" t="s">
        <v>5</v>
      </c>
      <c r="B16" s="25">
        <v>12</v>
      </c>
      <c r="C16" s="25">
        <v>0</v>
      </c>
      <c r="D16" s="25" t="s">
        <v>55</v>
      </c>
      <c r="E16" s="25">
        <v>60</v>
      </c>
      <c r="F16" s="25">
        <v>1</v>
      </c>
      <c r="G16" s="25">
        <v>1</v>
      </c>
      <c r="H16" s="25">
        <v>24.8</v>
      </c>
      <c r="I16" s="25">
        <f>ROUND($B$6-H16,1)</f>
        <v>225.2</v>
      </c>
      <c r="J16" s="25">
        <f t="shared" si="0"/>
        <v>16.899999999999999</v>
      </c>
      <c r="K16" s="25">
        <v>25.6</v>
      </c>
      <c r="L16" s="25">
        <f>ROUND($B$6-K16,1)</f>
        <v>224.4</v>
      </c>
      <c r="M16" s="25">
        <f t="shared" si="1"/>
        <v>17.5</v>
      </c>
      <c r="N16" s="25">
        <f t="shared" si="2"/>
        <v>17.2</v>
      </c>
      <c r="O16" s="25">
        <f t="shared" si="3"/>
        <v>0.4</v>
      </c>
      <c r="P16" s="25">
        <f t="shared" si="4"/>
        <v>1.4</v>
      </c>
      <c r="Q16" s="25">
        <f>ROUND(N16/N10*100,1)</f>
        <v>52.9</v>
      </c>
      <c r="R16" s="25">
        <f>ROUND(STDEV(J16/J10*100,M16/M10*100),1)</f>
        <v>1</v>
      </c>
    </row>
    <row r="17" spans="1:18" x14ac:dyDescent="0.2">
      <c r="A17" s="25" t="s">
        <v>5</v>
      </c>
      <c r="B17" s="25">
        <v>12</v>
      </c>
      <c r="C17" s="25">
        <v>0</v>
      </c>
      <c r="D17" s="25" t="s">
        <v>55</v>
      </c>
      <c r="E17" s="25">
        <v>120</v>
      </c>
      <c r="F17" s="25">
        <v>2</v>
      </c>
      <c r="G17" s="25">
        <v>1</v>
      </c>
      <c r="H17" s="25">
        <v>26.4</v>
      </c>
      <c r="I17" s="25">
        <f>ROUND(I16-H17,1)</f>
        <v>198.8</v>
      </c>
      <c r="J17" s="25">
        <f t="shared" si="0"/>
        <v>18</v>
      </c>
      <c r="K17" s="25">
        <v>25.9</v>
      </c>
      <c r="L17" s="25">
        <f>ROUND(L16-K17,1)</f>
        <v>198.5</v>
      </c>
      <c r="M17" s="25">
        <f t="shared" si="1"/>
        <v>17.7</v>
      </c>
      <c r="N17" s="25">
        <f t="shared" si="2"/>
        <v>17.899999999999999</v>
      </c>
      <c r="O17" s="25">
        <f t="shared" si="3"/>
        <v>0.2</v>
      </c>
      <c r="P17" s="25">
        <f t="shared" si="4"/>
        <v>1.5</v>
      </c>
      <c r="Q17" s="25">
        <f>ROUND(N17/N10*100,1)</f>
        <v>55.1</v>
      </c>
      <c r="R17" s="25">
        <f>ROUND(STDEV(J17/J10*100,M17/M10*100),1)</f>
        <v>1</v>
      </c>
    </row>
    <row r="18" spans="1:18" x14ac:dyDescent="0.2">
      <c r="A18" s="21" t="s">
        <v>1</v>
      </c>
      <c r="B18" s="21">
        <v>30</v>
      </c>
      <c r="C18" s="21">
        <v>0</v>
      </c>
      <c r="D18" s="21" t="s">
        <v>39</v>
      </c>
      <c r="E18" s="21">
        <v>300</v>
      </c>
      <c r="F18" s="21">
        <v>5</v>
      </c>
      <c r="G18" s="21">
        <v>1</v>
      </c>
      <c r="H18" s="21">
        <v>47.2</v>
      </c>
      <c r="I18" s="21"/>
      <c r="J18" s="21">
        <f t="shared" si="0"/>
        <v>32.200000000000003</v>
      </c>
      <c r="K18" s="21">
        <v>48.2</v>
      </c>
      <c r="L18" s="21"/>
      <c r="M18" s="21">
        <f t="shared" si="1"/>
        <v>32.9</v>
      </c>
      <c r="N18" s="21">
        <f t="shared" si="2"/>
        <v>32.6</v>
      </c>
      <c r="O18" s="21">
        <f t="shared" si="3"/>
        <v>0.5</v>
      </c>
      <c r="P18" s="21">
        <f t="shared" si="4"/>
        <v>1.1000000000000001</v>
      </c>
      <c r="Q18" s="21"/>
      <c r="R18" s="21"/>
    </row>
    <row r="19" spans="1:18" x14ac:dyDescent="0.2">
      <c r="A19" s="23" t="s">
        <v>1</v>
      </c>
      <c r="B19" s="23">
        <v>30</v>
      </c>
      <c r="C19" s="23">
        <v>0</v>
      </c>
      <c r="D19" s="23" t="s">
        <v>40</v>
      </c>
      <c r="E19" s="23">
        <v>60</v>
      </c>
      <c r="F19" s="23">
        <v>1</v>
      </c>
      <c r="G19" s="23">
        <v>1</v>
      </c>
      <c r="H19" s="23">
        <v>43</v>
      </c>
      <c r="I19" s="23">
        <f>ROUND($B$6-H19,1)</f>
        <v>207</v>
      </c>
      <c r="J19" s="23">
        <f t="shared" si="0"/>
        <v>29.4</v>
      </c>
      <c r="K19" s="23">
        <v>42.5</v>
      </c>
      <c r="L19" s="23">
        <f>ROUND($B$6-K19,1)</f>
        <v>207.5</v>
      </c>
      <c r="M19" s="23">
        <f t="shared" si="1"/>
        <v>29</v>
      </c>
      <c r="N19" s="23">
        <f t="shared" si="2"/>
        <v>29.2</v>
      </c>
      <c r="O19" s="23">
        <f t="shared" si="3"/>
        <v>0.3</v>
      </c>
      <c r="P19" s="23">
        <f t="shared" si="4"/>
        <v>1</v>
      </c>
      <c r="Q19" s="23"/>
      <c r="R19" s="23"/>
    </row>
    <row r="20" spans="1:18" x14ac:dyDescent="0.2">
      <c r="A20" s="23" t="s">
        <v>1</v>
      </c>
      <c r="B20" s="23">
        <v>30</v>
      </c>
      <c r="C20" s="23">
        <v>0</v>
      </c>
      <c r="D20" s="23" t="s">
        <v>40</v>
      </c>
      <c r="E20" s="23">
        <v>120</v>
      </c>
      <c r="F20" s="23">
        <v>2</v>
      </c>
      <c r="G20" s="23">
        <v>1</v>
      </c>
      <c r="H20" s="23">
        <v>38.4</v>
      </c>
      <c r="I20" s="23">
        <f>ROUND(I19-H20,1)</f>
        <v>168.6</v>
      </c>
      <c r="J20" s="23">
        <f t="shared" si="0"/>
        <v>26.2</v>
      </c>
      <c r="K20" s="23">
        <v>39</v>
      </c>
      <c r="L20" s="23">
        <f>ROUND(L19-K20,1)</f>
        <v>168.5</v>
      </c>
      <c r="M20" s="23">
        <f t="shared" si="1"/>
        <v>26.6</v>
      </c>
      <c r="N20" s="23">
        <f t="shared" si="2"/>
        <v>26.4</v>
      </c>
      <c r="O20" s="23">
        <f t="shared" si="3"/>
        <v>0.3</v>
      </c>
      <c r="P20" s="23">
        <f t="shared" si="4"/>
        <v>0.9</v>
      </c>
      <c r="Q20" s="23"/>
      <c r="R20" s="23"/>
    </row>
    <row r="21" spans="1:18" x14ac:dyDescent="0.2">
      <c r="A21" s="23" t="s">
        <v>1</v>
      </c>
      <c r="B21" s="23">
        <v>30</v>
      </c>
      <c r="C21" s="23">
        <v>0</v>
      </c>
      <c r="D21" s="23" t="s">
        <v>40</v>
      </c>
      <c r="E21" s="23">
        <v>180</v>
      </c>
      <c r="F21" s="23">
        <v>3</v>
      </c>
      <c r="G21" s="23">
        <v>1</v>
      </c>
      <c r="H21" s="23">
        <v>36.9</v>
      </c>
      <c r="I21" s="23">
        <f>ROUND(I20-H21,1)</f>
        <v>131.69999999999999</v>
      </c>
      <c r="J21" s="23">
        <f t="shared" si="0"/>
        <v>25.2</v>
      </c>
      <c r="K21" s="23">
        <v>36.200000000000003</v>
      </c>
      <c r="L21" s="23">
        <f>ROUND(L20-K21,1)</f>
        <v>132.30000000000001</v>
      </c>
      <c r="M21" s="23">
        <f t="shared" si="1"/>
        <v>24.7</v>
      </c>
      <c r="N21" s="23">
        <f t="shared" si="2"/>
        <v>25</v>
      </c>
      <c r="O21" s="23">
        <f t="shared" si="3"/>
        <v>0.4</v>
      </c>
      <c r="P21" s="23">
        <f t="shared" si="4"/>
        <v>0.8</v>
      </c>
      <c r="Q21" s="23"/>
      <c r="R21" s="23"/>
    </row>
    <row r="22" spans="1:18" x14ac:dyDescent="0.2">
      <c r="A22" s="23" t="s">
        <v>1</v>
      </c>
      <c r="B22" s="23">
        <v>30</v>
      </c>
      <c r="C22" s="23">
        <v>0</v>
      </c>
      <c r="D22" s="23" t="s">
        <v>40</v>
      </c>
      <c r="E22" s="23">
        <v>240</v>
      </c>
      <c r="F22" s="23">
        <v>4</v>
      </c>
      <c r="G22" s="23">
        <v>1</v>
      </c>
      <c r="H22" s="23">
        <v>31.8</v>
      </c>
      <c r="I22" s="23">
        <f>ROUND(I21-H22,1)</f>
        <v>99.9</v>
      </c>
      <c r="J22" s="23">
        <f t="shared" si="0"/>
        <v>21.7</v>
      </c>
      <c r="K22" s="23">
        <v>32.6</v>
      </c>
      <c r="L22" s="23">
        <f>ROUND(L21-K22,1)</f>
        <v>99.7</v>
      </c>
      <c r="M22" s="23">
        <f t="shared" si="1"/>
        <v>22.3</v>
      </c>
      <c r="N22" s="23">
        <f t="shared" si="2"/>
        <v>22</v>
      </c>
      <c r="O22" s="23">
        <f t="shared" si="3"/>
        <v>0.4</v>
      </c>
      <c r="P22" s="23">
        <f t="shared" si="4"/>
        <v>0.7</v>
      </c>
      <c r="Q22" s="23"/>
      <c r="R22" s="23"/>
    </row>
    <row r="23" spans="1:18" x14ac:dyDescent="0.2">
      <c r="A23" s="23" t="s">
        <v>1</v>
      </c>
      <c r="B23" s="23">
        <v>30</v>
      </c>
      <c r="C23" s="23">
        <v>0</v>
      </c>
      <c r="D23" s="23" t="s">
        <v>40</v>
      </c>
      <c r="E23" s="23">
        <v>300</v>
      </c>
      <c r="F23" s="23">
        <v>5</v>
      </c>
      <c r="G23" s="23">
        <v>1</v>
      </c>
      <c r="H23" s="23">
        <v>30.5</v>
      </c>
      <c r="I23" s="23">
        <f>ROUND(I22-H23,1)</f>
        <v>69.400000000000006</v>
      </c>
      <c r="J23" s="23">
        <f t="shared" si="0"/>
        <v>20.8</v>
      </c>
      <c r="K23" s="23">
        <v>29.5</v>
      </c>
      <c r="L23" s="23">
        <f>ROUND(L22-K23,1)</f>
        <v>70.2</v>
      </c>
      <c r="M23" s="23">
        <f t="shared" si="1"/>
        <v>20.2</v>
      </c>
      <c r="N23" s="23">
        <f t="shared" si="2"/>
        <v>20.5</v>
      </c>
      <c r="O23" s="23">
        <f t="shared" si="3"/>
        <v>0.4</v>
      </c>
      <c r="P23" s="23">
        <f t="shared" si="4"/>
        <v>0.7</v>
      </c>
      <c r="Q23" s="23"/>
      <c r="R23" s="23"/>
    </row>
    <row r="24" spans="1:18" x14ac:dyDescent="0.2">
      <c r="A24" s="25" t="s">
        <v>1</v>
      </c>
      <c r="B24" s="25">
        <v>30</v>
      </c>
      <c r="C24" s="25">
        <v>0</v>
      </c>
      <c r="D24" s="25" t="s">
        <v>55</v>
      </c>
      <c r="E24" s="25">
        <v>60</v>
      </c>
      <c r="F24" s="25">
        <v>1</v>
      </c>
      <c r="G24" s="25">
        <v>1</v>
      </c>
      <c r="H24" s="25">
        <v>40.200000000000003</v>
      </c>
      <c r="I24" s="25">
        <f>ROUND($B$6-H24,1)</f>
        <v>209.8</v>
      </c>
      <c r="J24" s="25">
        <f t="shared" si="0"/>
        <v>27.5</v>
      </c>
      <c r="K24" s="25">
        <v>40.799999999999997</v>
      </c>
      <c r="L24" s="25">
        <f>ROUND($B$6-K24,1)</f>
        <v>209.2</v>
      </c>
      <c r="M24" s="25">
        <f t="shared" si="1"/>
        <v>27.9</v>
      </c>
      <c r="N24" s="25">
        <f t="shared" si="2"/>
        <v>27.7</v>
      </c>
      <c r="O24" s="25">
        <f t="shared" si="3"/>
        <v>0.3</v>
      </c>
      <c r="P24" s="25">
        <f t="shared" si="4"/>
        <v>0.9</v>
      </c>
      <c r="Q24" s="25">
        <f>ROUND(N24/N18*100,1)</f>
        <v>85</v>
      </c>
      <c r="R24" s="25">
        <f>ROUND(STDEV(J24/J18*100,M24/M18*100),1)</f>
        <v>0.4</v>
      </c>
    </row>
    <row r="25" spans="1:18" x14ac:dyDescent="0.2">
      <c r="A25" s="25" t="s">
        <v>1</v>
      </c>
      <c r="B25" s="25">
        <v>30</v>
      </c>
      <c r="C25" s="25">
        <v>0</v>
      </c>
      <c r="D25" s="25" t="s">
        <v>55</v>
      </c>
      <c r="E25" s="25">
        <v>120</v>
      </c>
      <c r="F25" s="25">
        <v>2</v>
      </c>
      <c r="G25" s="25">
        <v>1</v>
      </c>
      <c r="H25" s="25">
        <v>42.3</v>
      </c>
      <c r="I25" s="25">
        <f>ROUND(I24-H25,1)</f>
        <v>167.5</v>
      </c>
      <c r="J25" s="25">
        <f t="shared" si="0"/>
        <v>28.9</v>
      </c>
      <c r="K25" s="25">
        <v>41.6</v>
      </c>
      <c r="L25" s="25">
        <f>ROUND(L24-K25,1)</f>
        <v>167.6</v>
      </c>
      <c r="M25" s="25">
        <f t="shared" si="1"/>
        <v>28.4</v>
      </c>
      <c r="N25" s="25">
        <f t="shared" si="2"/>
        <v>28.7</v>
      </c>
      <c r="O25" s="25">
        <f t="shared" si="3"/>
        <v>0.4</v>
      </c>
      <c r="P25" s="25">
        <f t="shared" si="4"/>
        <v>1</v>
      </c>
      <c r="Q25" s="25">
        <f>ROUND(N25/N18*100,1)</f>
        <v>88</v>
      </c>
      <c r="R25" s="25">
        <f>ROUND(STDEV(J25/J18*100,M25/M18*100),1)</f>
        <v>2.4</v>
      </c>
    </row>
    <row r="26" spans="1:18" x14ac:dyDescent="0.2">
      <c r="A26" s="21" t="s">
        <v>0</v>
      </c>
      <c r="B26" s="21">
        <v>30</v>
      </c>
      <c r="C26" s="21">
        <v>0</v>
      </c>
      <c r="D26" s="21" t="s">
        <v>39</v>
      </c>
      <c r="E26" s="21">
        <v>300</v>
      </c>
      <c r="F26" s="21">
        <v>5</v>
      </c>
      <c r="G26" s="21">
        <v>1</v>
      </c>
      <c r="H26" s="21">
        <v>47.6</v>
      </c>
      <c r="I26" s="21"/>
      <c r="J26" s="21">
        <f t="shared" si="0"/>
        <v>32.5</v>
      </c>
      <c r="K26" s="21">
        <v>48.1</v>
      </c>
      <c r="L26" s="21"/>
      <c r="M26" s="21">
        <f t="shared" si="1"/>
        <v>32.9</v>
      </c>
      <c r="N26" s="21">
        <f t="shared" si="2"/>
        <v>32.700000000000003</v>
      </c>
      <c r="O26" s="21">
        <f t="shared" si="3"/>
        <v>0.3</v>
      </c>
      <c r="P26" s="21">
        <f t="shared" si="4"/>
        <v>1.1000000000000001</v>
      </c>
      <c r="Q26" s="21"/>
      <c r="R26" s="21"/>
    </row>
    <row r="27" spans="1:18" x14ac:dyDescent="0.2">
      <c r="A27" s="23" t="s">
        <v>0</v>
      </c>
      <c r="B27" s="23">
        <v>30</v>
      </c>
      <c r="C27" s="23">
        <v>0</v>
      </c>
      <c r="D27" s="23" t="s">
        <v>40</v>
      </c>
      <c r="E27" s="23">
        <v>60</v>
      </c>
      <c r="F27" s="23">
        <v>1</v>
      </c>
      <c r="G27" s="23">
        <v>1</v>
      </c>
      <c r="H27" s="23">
        <v>44</v>
      </c>
      <c r="I27" s="23">
        <f>ROUND($B$6-H27,1)</f>
        <v>206</v>
      </c>
      <c r="J27" s="23">
        <f t="shared" si="0"/>
        <v>30.1</v>
      </c>
      <c r="K27" s="23">
        <v>43</v>
      </c>
      <c r="L27" s="23">
        <f>ROUND($B$6-K27,1)</f>
        <v>207</v>
      </c>
      <c r="M27" s="23">
        <f t="shared" si="1"/>
        <v>29.4</v>
      </c>
      <c r="N27" s="23">
        <f t="shared" si="2"/>
        <v>29.8</v>
      </c>
      <c r="O27" s="23">
        <f t="shared" si="3"/>
        <v>0.5</v>
      </c>
      <c r="P27" s="23">
        <f t="shared" si="4"/>
        <v>1</v>
      </c>
      <c r="Q27" s="23"/>
      <c r="R27" s="23"/>
    </row>
    <row r="28" spans="1:18" x14ac:dyDescent="0.2">
      <c r="A28" s="23" t="s">
        <v>0</v>
      </c>
      <c r="B28" s="23">
        <v>30</v>
      </c>
      <c r="C28" s="23">
        <v>0</v>
      </c>
      <c r="D28" s="23" t="s">
        <v>40</v>
      </c>
      <c r="E28" s="23">
        <v>120</v>
      </c>
      <c r="F28" s="23">
        <v>2</v>
      </c>
      <c r="G28" s="23">
        <v>1</v>
      </c>
      <c r="H28" s="23">
        <v>40.5</v>
      </c>
      <c r="I28" s="23">
        <f>ROUND(I27-H28,1)</f>
        <v>165.5</v>
      </c>
      <c r="J28" s="23">
        <f t="shared" si="0"/>
        <v>27.7</v>
      </c>
      <c r="K28" s="23">
        <v>41</v>
      </c>
      <c r="L28" s="23">
        <f>ROUND(L27-K28,1)</f>
        <v>166</v>
      </c>
      <c r="M28" s="23">
        <f t="shared" si="1"/>
        <v>28</v>
      </c>
      <c r="N28" s="23">
        <f t="shared" si="2"/>
        <v>27.9</v>
      </c>
      <c r="O28" s="23">
        <f t="shared" si="3"/>
        <v>0.2</v>
      </c>
      <c r="P28" s="23">
        <f t="shared" si="4"/>
        <v>0.9</v>
      </c>
      <c r="Q28" s="23"/>
      <c r="R28" s="23"/>
    </row>
    <row r="29" spans="1:18" x14ac:dyDescent="0.2">
      <c r="A29" s="23" t="s">
        <v>0</v>
      </c>
      <c r="B29" s="23">
        <v>30</v>
      </c>
      <c r="C29" s="23">
        <v>0</v>
      </c>
      <c r="D29" s="23" t="s">
        <v>40</v>
      </c>
      <c r="E29" s="23">
        <v>180</v>
      </c>
      <c r="F29" s="23">
        <v>3</v>
      </c>
      <c r="G29" s="23">
        <v>1</v>
      </c>
      <c r="H29" s="23">
        <v>37.299999999999997</v>
      </c>
      <c r="I29" s="23">
        <f>ROUND(I28-H29,1)</f>
        <v>128.19999999999999</v>
      </c>
      <c r="J29" s="23">
        <f t="shared" si="0"/>
        <v>25.5</v>
      </c>
      <c r="K29" s="23">
        <v>36.700000000000003</v>
      </c>
      <c r="L29" s="23">
        <f>ROUND(L28-K29,1)</f>
        <v>129.30000000000001</v>
      </c>
      <c r="M29" s="23">
        <f t="shared" si="1"/>
        <v>25.1</v>
      </c>
      <c r="N29" s="23">
        <f t="shared" si="2"/>
        <v>25.3</v>
      </c>
      <c r="O29" s="23">
        <f t="shared" si="3"/>
        <v>0.3</v>
      </c>
      <c r="P29" s="23">
        <f t="shared" si="4"/>
        <v>0.8</v>
      </c>
      <c r="Q29" s="23"/>
      <c r="R29" s="23"/>
    </row>
    <row r="30" spans="1:18" x14ac:dyDescent="0.2">
      <c r="A30" s="23" t="s">
        <v>0</v>
      </c>
      <c r="B30" s="23">
        <v>30</v>
      </c>
      <c r="C30" s="23">
        <v>0</v>
      </c>
      <c r="D30" s="23" t="s">
        <v>40</v>
      </c>
      <c r="E30" s="23">
        <v>240</v>
      </c>
      <c r="F30" s="23">
        <v>4</v>
      </c>
      <c r="G30" s="23">
        <v>1</v>
      </c>
      <c r="H30" s="23">
        <v>35</v>
      </c>
      <c r="I30" s="23">
        <f>ROUND(I29-H30,1)</f>
        <v>93.2</v>
      </c>
      <c r="J30" s="23">
        <f t="shared" si="0"/>
        <v>23.9</v>
      </c>
      <c r="K30" s="23">
        <v>35.700000000000003</v>
      </c>
      <c r="L30" s="23">
        <f>ROUND(L29-K30,1)</f>
        <v>93.6</v>
      </c>
      <c r="M30" s="23">
        <f t="shared" si="1"/>
        <v>24.4</v>
      </c>
      <c r="N30" s="23">
        <f t="shared" si="2"/>
        <v>24.2</v>
      </c>
      <c r="O30" s="23">
        <f t="shared" si="3"/>
        <v>0.4</v>
      </c>
      <c r="P30" s="23">
        <f t="shared" si="4"/>
        <v>0.8</v>
      </c>
      <c r="Q30" s="23"/>
      <c r="R30" s="23"/>
    </row>
    <row r="31" spans="1:18" x14ac:dyDescent="0.2">
      <c r="A31" s="23" t="s">
        <v>0</v>
      </c>
      <c r="B31" s="23">
        <v>30</v>
      </c>
      <c r="C31" s="23">
        <v>0</v>
      </c>
      <c r="D31" s="23" t="s">
        <v>40</v>
      </c>
      <c r="E31" s="23">
        <v>300</v>
      </c>
      <c r="F31" s="23">
        <v>5</v>
      </c>
      <c r="G31" s="23">
        <v>1</v>
      </c>
      <c r="H31" s="23">
        <v>34.200000000000003</v>
      </c>
      <c r="I31" s="23">
        <f>ROUND(I30-H31,1)</f>
        <v>59</v>
      </c>
      <c r="J31" s="23">
        <f t="shared" si="0"/>
        <v>23.4</v>
      </c>
      <c r="K31" s="23">
        <v>33.4</v>
      </c>
      <c r="L31" s="23">
        <f>ROUND(L30-K31,1)</f>
        <v>60.2</v>
      </c>
      <c r="M31" s="23">
        <f t="shared" si="1"/>
        <v>22.8</v>
      </c>
      <c r="N31" s="23">
        <f t="shared" si="2"/>
        <v>23.1</v>
      </c>
      <c r="O31" s="23">
        <f t="shared" si="3"/>
        <v>0.4</v>
      </c>
      <c r="P31" s="23">
        <f t="shared" si="4"/>
        <v>0.8</v>
      </c>
      <c r="Q31" s="23"/>
      <c r="R31" s="23"/>
    </row>
    <row r="32" spans="1:18" x14ac:dyDescent="0.2">
      <c r="A32" s="25" t="s">
        <v>0</v>
      </c>
      <c r="B32" s="25">
        <v>30</v>
      </c>
      <c r="C32" s="25">
        <v>0</v>
      </c>
      <c r="D32" s="25" t="s">
        <v>55</v>
      </c>
      <c r="E32" s="25">
        <v>60</v>
      </c>
      <c r="F32" s="25">
        <v>1</v>
      </c>
      <c r="G32" s="25">
        <v>1</v>
      </c>
      <c r="H32" s="25">
        <v>42</v>
      </c>
      <c r="I32" s="25">
        <f>ROUND($B$6-H32,1)</f>
        <v>208</v>
      </c>
      <c r="J32" s="25">
        <f t="shared" si="0"/>
        <v>28.7</v>
      </c>
      <c r="K32" s="25">
        <v>42.9</v>
      </c>
      <c r="L32" s="25">
        <f>ROUND($B$6-K32,1)</f>
        <v>207.1</v>
      </c>
      <c r="M32" s="25">
        <f t="shared" si="1"/>
        <v>29.3</v>
      </c>
      <c r="N32" s="25">
        <f t="shared" si="2"/>
        <v>29</v>
      </c>
      <c r="O32" s="25">
        <f t="shared" si="3"/>
        <v>0.4</v>
      </c>
      <c r="P32" s="25">
        <f t="shared" si="4"/>
        <v>1</v>
      </c>
      <c r="Q32" s="25">
        <f>ROUND(N32/N26*100,1)</f>
        <v>88.7</v>
      </c>
      <c r="R32" s="25">
        <f>ROUND(STDEV(J32/J26*100,M32/M26*100),1)</f>
        <v>0.5</v>
      </c>
    </row>
    <row r="33" spans="1:18" x14ac:dyDescent="0.2">
      <c r="A33" s="25" t="s">
        <v>0</v>
      </c>
      <c r="B33" s="25">
        <v>30</v>
      </c>
      <c r="C33" s="25">
        <v>0</v>
      </c>
      <c r="D33" s="25" t="s">
        <v>55</v>
      </c>
      <c r="E33" s="25">
        <v>120</v>
      </c>
      <c r="F33" s="25">
        <v>2</v>
      </c>
      <c r="G33" s="25">
        <v>1</v>
      </c>
      <c r="H33" s="25">
        <v>44.3</v>
      </c>
      <c r="I33" s="25">
        <f>ROUND(I32-H33,1)</f>
        <v>163.69999999999999</v>
      </c>
      <c r="J33" s="25">
        <f t="shared" si="0"/>
        <v>30.3</v>
      </c>
      <c r="K33" s="25">
        <v>43.7</v>
      </c>
      <c r="L33" s="25">
        <f>ROUND(L32-K33,1)</f>
        <v>163.4</v>
      </c>
      <c r="M33" s="25">
        <f t="shared" si="1"/>
        <v>29.8</v>
      </c>
      <c r="N33" s="25">
        <f t="shared" si="2"/>
        <v>30.1</v>
      </c>
      <c r="O33" s="25">
        <f t="shared" si="3"/>
        <v>0.4</v>
      </c>
      <c r="P33" s="25">
        <f t="shared" si="4"/>
        <v>1</v>
      </c>
      <c r="Q33" s="25">
        <f>ROUND(N33/N26*100,1)</f>
        <v>92</v>
      </c>
      <c r="R33" s="25">
        <f>ROUND(STDEV(J33/J26*100,M33/M26*100),1)</f>
        <v>1.9</v>
      </c>
    </row>
    <row r="34" spans="1:18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1:18" x14ac:dyDescent="0.2">
      <c r="A35" s="34" t="s">
        <v>56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 ht="34" x14ac:dyDescent="0.2">
      <c r="A36" s="33" t="s">
        <v>19</v>
      </c>
      <c r="B36" s="33" t="s">
        <v>26</v>
      </c>
      <c r="C36" s="33" t="s">
        <v>53</v>
      </c>
      <c r="D36" s="33" t="s">
        <v>27</v>
      </c>
      <c r="E36" s="33" t="s">
        <v>28</v>
      </c>
      <c r="F36" s="33" t="s">
        <v>4</v>
      </c>
      <c r="G36" s="33" t="s">
        <v>29</v>
      </c>
      <c r="H36" s="33" t="s">
        <v>30</v>
      </c>
      <c r="I36" s="33" t="s">
        <v>31</v>
      </c>
      <c r="J36" s="33" t="s">
        <v>32</v>
      </c>
      <c r="K36" s="33" t="s">
        <v>33</v>
      </c>
      <c r="L36" s="33" t="s">
        <v>34</v>
      </c>
      <c r="M36" s="33" t="s">
        <v>35</v>
      </c>
      <c r="N36" s="33" t="s">
        <v>36</v>
      </c>
      <c r="O36" s="33" t="s">
        <v>37</v>
      </c>
      <c r="P36" s="33" t="s">
        <v>38</v>
      </c>
      <c r="Q36" s="33" t="s">
        <v>54</v>
      </c>
      <c r="R36" s="33" t="s">
        <v>44</v>
      </c>
    </row>
    <row r="37" spans="1:18" x14ac:dyDescent="0.2">
      <c r="A37" s="21" t="s">
        <v>5</v>
      </c>
      <c r="B37" s="21">
        <v>12</v>
      </c>
      <c r="C37" s="21">
        <v>0</v>
      </c>
      <c r="D37" s="21" t="s">
        <v>39</v>
      </c>
      <c r="E37" s="21">
        <v>300</v>
      </c>
      <c r="F37" s="21">
        <v>5</v>
      </c>
      <c r="G37" s="21">
        <v>1</v>
      </c>
      <c r="H37" s="21">
        <v>47.9</v>
      </c>
      <c r="I37" s="21"/>
      <c r="J37" s="21">
        <f t="shared" ref="J37:J60" si="5">ROUND(H37/1000/$B$2/G37,1)</f>
        <v>32.700000000000003</v>
      </c>
      <c r="K37" s="21">
        <v>47.4</v>
      </c>
      <c r="L37" s="21"/>
      <c r="M37" s="21">
        <f t="shared" ref="M37:M60" si="6">ROUND(K37/1000/$B$2/G37,1)</f>
        <v>32.4</v>
      </c>
      <c r="N37" s="21">
        <f t="shared" ref="N37:N60" si="7">ROUND(AVERAGE(J37,M37),1)</f>
        <v>32.6</v>
      </c>
      <c r="O37" s="21">
        <f t="shared" ref="O37:O60" si="8">ROUND(STDEV(J37,M37),1)</f>
        <v>0.2</v>
      </c>
      <c r="P37" s="21">
        <f t="shared" ref="P37:P60" si="9">ROUND(N37/B37,1)</f>
        <v>2.7</v>
      </c>
      <c r="Q37" s="21"/>
      <c r="R37" s="21"/>
    </row>
    <row r="38" spans="1:18" x14ac:dyDescent="0.2">
      <c r="A38" s="23" t="s">
        <v>5</v>
      </c>
      <c r="B38" s="23">
        <v>12</v>
      </c>
      <c r="C38" s="23">
        <v>0</v>
      </c>
      <c r="D38" s="23" t="s">
        <v>40</v>
      </c>
      <c r="E38" s="23">
        <v>60</v>
      </c>
      <c r="F38" s="23">
        <v>1</v>
      </c>
      <c r="G38" s="23">
        <v>1</v>
      </c>
      <c r="H38" s="23">
        <v>42.7</v>
      </c>
      <c r="I38" s="23">
        <f>ROUND($B$6-H38,1)</f>
        <v>207.3</v>
      </c>
      <c r="J38" s="23">
        <f t="shared" si="5"/>
        <v>29.2</v>
      </c>
      <c r="K38" s="23">
        <v>43.8</v>
      </c>
      <c r="L38" s="23">
        <f>ROUND($B$6-K38,1)</f>
        <v>206.2</v>
      </c>
      <c r="M38" s="23">
        <f t="shared" si="6"/>
        <v>29.9</v>
      </c>
      <c r="N38" s="23">
        <f t="shared" si="7"/>
        <v>29.6</v>
      </c>
      <c r="O38" s="23">
        <f t="shared" si="8"/>
        <v>0.5</v>
      </c>
      <c r="P38" s="23">
        <f t="shared" si="9"/>
        <v>2.5</v>
      </c>
      <c r="Q38" s="23"/>
      <c r="R38" s="23"/>
    </row>
    <row r="39" spans="1:18" x14ac:dyDescent="0.2">
      <c r="A39" s="23" t="s">
        <v>5</v>
      </c>
      <c r="B39" s="23">
        <v>12</v>
      </c>
      <c r="C39" s="23">
        <v>0</v>
      </c>
      <c r="D39" s="23" t="s">
        <v>40</v>
      </c>
      <c r="E39" s="23">
        <v>120</v>
      </c>
      <c r="F39" s="23">
        <v>2</v>
      </c>
      <c r="G39" s="23">
        <v>1</v>
      </c>
      <c r="H39" s="23">
        <v>36.5</v>
      </c>
      <c r="I39" s="23">
        <f>ROUND(I38-H39,1)</f>
        <v>170.8</v>
      </c>
      <c r="J39" s="23">
        <f t="shared" si="5"/>
        <v>24.9</v>
      </c>
      <c r="K39" s="23">
        <v>36</v>
      </c>
      <c r="L39" s="23">
        <f>ROUND(L38-K39,1)</f>
        <v>170.2</v>
      </c>
      <c r="M39" s="23">
        <f t="shared" si="6"/>
        <v>24.6</v>
      </c>
      <c r="N39" s="23">
        <f t="shared" si="7"/>
        <v>24.8</v>
      </c>
      <c r="O39" s="23">
        <f t="shared" si="8"/>
        <v>0.2</v>
      </c>
      <c r="P39" s="23">
        <f t="shared" si="9"/>
        <v>2.1</v>
      </c>
      <c r="Q39" s="23"/>
      <c r="R39" s="23"/>
    </row>
    <row r="40" spans="1:18" x14ac:dyDescent="0.2">
      <c r="A40" s="23" t="s">
        <v>5</v>
      </c>
      <c r="B40" s="23">
        <v>12</v>
      </c>
      <c r="C40" s="23">
        <v>0</v>
      </c>
      <c r="D40" s="23" t="s">
        <v>40</v>
      </c>
      <c r="E40" s="23">
        <v>180</v>
      </c>
      <c r="F40" s="23">
        <v>3</v>
      </c>
      <c r="G40" s="23">
        <v>1</v>
      </c>
      <c r="H40" s="23">
        <v>32.299999999999997</v>
      </c>
      <c r="I40" s="23">
        <f>ROUND(I39-H40,1)</f>
        <v>138.5</v>
      </c>
      <c r="J40" s="23">
        <f t="shared" si="5"/>
        <v>22.1</v>
      </c>
      <c r="K40" s="23">
        <v>32.9</v>
      </c>
      <c r="L40" s="23">
        <f>ROUND(L39-K40,1)</f>
        <v>137.30000000000001</v>
      </c>
      <c r="M40" s="23">
        <f t="shared" si="6"/>
        <v>22.5</v>
      </c>
      <c r="N40" s="23">
        <f t="shared" si="7"/>
        <v>22.3</v>
      </c>
      <c r="O40" s="23">
        <f t="shared" si="8"/>
        <v>0.3</v>
      </c>
      <c r="P40" s="23">
        <f t="shared" si="9"/>
        <v>1.9</v>
      </c>
      <c r="Q40" s="23"/>
      <c r="R40" s="23"/>
    </row>
    <row r="41" spans="1:18" x14ac:dyDescent="0.2">
      <c r="A41" s="23" t="s">
        <v>5</v>
      </c>
      <c r="B41" s="23">
        <v>12</v>
      </c>
      <c r="C41" s="23">
        <v>0</v>
      </c>
      <c r="D41" s="23" t="s">
        <v>40</v>
      </c>
      <c r="E41" s="23">
        <v>240</v>
      </c>
      <c r="F41" s="23">
        <v>4</v>
      </c>
      <c r="G41" s="23">
        <v>1</v>
      </c>
      <c r="H41" s="23">
        <v>25.1</v>
      </c>
      <c r="I41" s="23">
        <f>ROUND(I40-H41,1)</f>
        <v>113.4</v>
      </c>
      <c r="J41" s="23">
        <f t="shared" si="5"/>
        <v>17.100000000000001</v>
      </c>
      <c r="K41" s="23">
        <v>24.4</v>
      </c>
      <c r="L41" s="23">
        <f>ROUND(L40-K41,1)</f>
        <v>112.9</v>
      </c>
      <c r="M41" s="23">
        <f t="shared" si="6"/>
        <v>16.7</v>
      </c>
      <c r="N41" s="23">
        <f t="shared" si="7"/>
        <v>16.899999999999999</v>
      </c>
      <c r="O41" s="23">
        <f t="shared" si="8"/>
        <v>0.3</v>
      </c>
      <c r="P41" s="23">
        <f t="shared" si="9"/>
        <v>1.4</v>
      </c>
      <c r="Q41" s="23"/>
      <c r="R41" s="23"/>
    </row>
    <row r="42" spans="1:18" x14ac:dyDescent="0.2">
      <c r="A42" s="23" t="s">
        <v>5</v>
      </c>
      <c r="B42" s="23">
        <v>12</v>
      </c>
      <c r="C42" s="23">
        <v>0</v>
      </c>
      <c r="D42" s="23" t="s">
        <v>40</v>
      </c>
      <c r="E42" s="23">
        <v>300</v>
      </c>
      <c r="F42" s="23">
        <v>5</v>
      </c>
      <c r="G42" s="23">
        <v>1</v>
      </c>
      <c r="H42" s="23">
        <v>21.5</v>
      </c>
      <c r="I42" s="23">
        <f>ROUND(I41-H42,1)</f>
        <v>91.9</v>
      </c>
      <c r="J42" s="23">
        <f t="shared" si="5"/>
        <v>14.7</v>
      </c>
      <c r="K42" s="23">
        <v>22.4</v>
      </c>
      <c r="L42" s="23">
        <f>ROUND(L41-K42,1)</f>
        <v>90.5</v>
      </c>
      <c r="M42" s="23">
        <f t="shared" si="6"/>
        <v>15.3</v>
      </c>
      <c r="N42" s="23">
        <f t="shared" si="7"/>
        <v>15</v>
      </c>
      <c r="O42" s="23">
        <f t="shared" si="8"/>
        <v>0.4</v>
      </c>
      <c r="P42" s="23">
        <f t="shared" si="9"/>
        <v>1.3</v>
      </c>
      <c r="Q42" s="23"/>
      <c r="R42" s="23"/>
    </row>
    <row r="43" spans="1:18" x14ac:dyDescent="0.2">
      <c r="A43" s="25" t="s">
        <v>5</v>
      </c>
      <c r="B43" s="25">
        <v>12</v>
      </c>
      <c r="C43" s="25">
        <v>0</v>
      </c>
      <c r="D43" s="25" t="s">
        <v>55</v>
      </c>
      <c r="E43" s="25">
        <v>60</v>
      </c>
      <c r="F43" s="25">
        <v>1</v>
      </c>
      <c r="G43" s="25">
        <v>1</v>
      </c>
      <c r="H43" s="25">
        <v>28.1</v>
      </c>
      <c r="I43" s="25">
        <f>ROUND($B$6-H43,1)</f>
        <v>221.9</v>
      </c>
      <c r="J43" s="25">
        <f t="shared" si="5"/>
        <v>19.2</v>
      </c>
      <c r="K43" s="25">
        <v>27.1</v>
      </c>
      <c r="L43" s="25">
        <f>ROUND($B$6-K43,1)</f>
        <v>222.9</v>
      </c>
      <c r="M43" s="25">
        <f t="shared" si="6"/>
        <v>18.5</v>
      </c>
      <c r="N43" s="25">
        <f t="shared" si="7"/>
        <v>18.899999999999999</v>
      </c>
      <c r="O43" s="25">
        <f t="shared" si="8"/>
        <v>0.5</v>
      </c>
      <c r="P43" s="25">
        <f t="shared" si="9"/>
        <v>1.6</v>
      </c>
      <c r="Q43" s="25">
        <f>ROUND(N43/N37*100,1)</f>
        <v>58</v>
      </c>
      <c r="R43" s="25">
        <f>ROUND(STDEV(J43/J37*100,M43/M37*100),1)</f>
        <v>1.1000000000000001</v>
      </c>
    </row>
    <row r="44" spans="1:18" x14ac:dyDescent="0.2">
      <c r="A44" s="25" t="s">
        <v>5</v>
      </c>
      <c r="B44" s="25">
        <v>12</v>
      </c>
      <c r="C44" s="25">
        <v>0</v>
      </c>
      <c r="D44" s="25" t="s">
        <v>55</v>
      </c>
      <c r="E44" s="25">
        <v>120</v>
      </c>
      <c r="F44" s="25">
        <v>2</v>
      </c>
      <c r="G44" s="25">
        <v>1</v>
      </c>
      <c r="H44" s="25">
        <v>28.3</v>
      </c>
      <c r="I44" s="25">
        <f>ROUND(I43-H44,1)</f>
        <v>193.6</v>
      </c>
      <c r="J44" s="25">
        <f t="shared" si="5"/>
        <v>19.3</v>
      </c>
      <c r="K44" s="25">
        <v>28.9</v>
      </c>
      <c r="L44" s="25">
        <f>ROUND(L43-K44,1)</f>
        <v>194</v>
      </c>
      <c r="M44" s="25">
        <f t="shared" si="6"/>
        <v>19.7</v>
      </c>
      <c r="N44" s="25">
        <f t="shared" si="7"/>
        <v>19.5</v>
      </c>
      <c r="O44" s="25">
        <f t="shared" si="8"/>
        <v>0.3</v>
      </c>
      <c r="P44" s="25">
        <f t="shared" si="9"/>
        <v>1.6</v>
      </c>
      <c r="Q44" s="25">
        <f>ROUND(N44/N37*100,1)</f>
        <v>59.8</v>
      </c>
      <c r="R44" s="25">
        <f>ROUND(STDEV(J44/J37*100,M44/M37*100),1)</f>
        <v>1.3</v>
      </c>
    </row>
    <row r="45" spans="1:18" x14ac:dyDescent="0.2">
      <c r="A45" s="21" t="s">
        <v>1</v>
      </c>
      <c r="B45" s="21">
        <v>30</v>
      </c>
      <c r="C45" s="21">
        <v>0</v>
      </c>
      <c r="D45" s="21" t="s">
        <v>39</v>
      </c>
      <c r="E45" s="21">
        <v>300</v>
      </c>
      <c r="F45" s="21">
        <v>5</v>
      </c>
      <c r="G45" s="21">
        <v>1</v>
      </c>
      <c r="H45" s="21">
        <v>48.2</v>
      </c>
      <c r="I45" s="21"/>
      <c r="J45" s="21">
        <f t="shared" si="5"/>
        <v>32.9</v>
      </c>
      <c r="K45" s="21">
        <v>47.4</v>
      </c>
      <c r="L45" s="21"/>
      <c r="M45" s="21">
        <f t="shared" si="6"/>
        <v>32.4</v>
      </c>
      <c r="N45" s="21">
        <f t="shared" si="7"/>
        <v>32.700000000000003</v>
      </c>
      <c r="O45" s="21">
        <f t="shared" si="8"/>
        <v>0.4</v>
      </c>
      <c r="P45" s="21">
        <f t="shared" si="9"/>
        <v>1.1000000000000001</v>
      </c>
      <c r="Q45" s="21"/>
      <c r="R45" s="21"/>
    </row>
    <row r="46" spans="1:18" x14ac:dyDescent="0.2">
      <c r="A46" s="23" t="s">
        <v>1</v>
      </c>
      <c r="B46" s="23">
        <v>30</v>
      </c>
      <c r="C46" s="23">
        <v>0</v>
      </c>
      <c r="D46" s="23" t="s">
        <v>40</v>
      </c>
      <c r="E46" s="23">
        <v>60</v>
      </c>
      <c r="F46" s="23">
        <v>1</v>
      </c>
      <c r="G46" s="23">
        <v>1</v>
      </c>
      <c r="H46" s="23">
        <v>42.6</v>
      </c>
      <c r="I46" s="23">
        <f>ROUND($B$6-H46,1)</f>
        <v>207.4</v>
      </c>
      <c r="J46" s="23">
        <f t="shared" si="5"/>
        <v>29.1</v>
      </c>
      <c r="K46" s="23">
        <v>43.1</v>
      </c>
      <c r="L46" s="23">
        <f>ROUND($B$6-K46,1)</f>
        <v>206.9</v>
      </c>
      <c r="M46" s="23">
        <f t="shared" si="6"/>
        <v>29.4</v>
      </c>
      <c r="N46" s="23">
        <f t="shared" si="7"/>
        <v>29.3</v>
      </c>
      <c r="O46" s="23">
        <f t="shared" si="8"/>
        <v>0.2</v>
      </c>
      <c r="P46" s="23">
        <f t="shared" si="9"/>
        <v>1</v>
      </c>
      <c r="Q46" s="23"/>
      <c r="R46" s="23"/>
    </row>
    <row r="47" spans="1:18" x14ac:dyDescent="0.2">
      <c r="A47" s="23" t="s">
        <v>1</v>
      </c>
      <c r="B47" s="23">
        <v>30</v>
      </c>
      <c r="C47" s="23">
        <v>0</v>
      </c>
      <c r="D47" s="23" t="s">
        <v>40</v>
      </c>
      <c r="E47" s="23">
        <v>120</v>
      </c>
      <c r="F47" s="23">
        <v>2</v>
      </c>
      <c r="G47" s="23">
        <v>1</v>
      </c>
      <c r="H47" s="23">
        <v>39.4</v>
      </c>
      <c r="I47" s="23">
        <f>ROUND(I46-H47,1)</f>
        <v>168</v>
      </c>
      <c r="J47" s="23">
        <f t="shared" si="5"/>
        <v>26.9</v>
      </c>
      <c r="K47" s="23">
        <v>38.299999999999997</v>
      </c>
      <c r="L47" s="23">
        <f>ROUND(L46-K47,1)</f>
        <v>168.6</v>
      </c>
      <c r="M47" s="23">
        <f t="shared" si="6"/>
        <v>26.2</v>
      </c>
      <c r="N47" s="23">
        <f t="shared" si="7"/>
        <v>26.6</v>
      </c>
      <c r="O47" s="23">
        <f t="shared" si="8"/>
        <v>0.5</v>
      </c>
      <c r="P47" s="23">
        <f t="shared" si="9"/>
        <v>0.9</v>
      </c>
      <c r="Q47" s="23"/>
      <c r="R47" s="23"/>
    </row>
    <row r="48" spans="1:18" x14ac:dyDescent="0.2">
      <c r="A48" s="23" t="s">
        <v>1</v>
      </c>
      <c r="B48" s="23">
        <v>30</v>
      </c>
      <c r="C48" s="23">
        <v>0</v>
      </c>
      <c r="D48" s="23" t="s">
        <v>40</v>
      </c>
      <c r="E48" s="23">
        <v>180</v>
      </c>
      <c r="F48" s="23">
        <v>3</v>
      </c>
      <c r="G48" s="23">
        <v>1</v>
      </c>
      <c r="H48" s="23">
        <v>36.5</v>
      </c>
      <c r="I48" s="23">
        <f>ROUND(I47-H48,1)</f>
        <v>131.5</v>
      </c>
      <c r="J48" s="23">
        <f t="shared" si="5"/>
        <v>24.9</v>
      </c>
      <c r="K48" s="23">
        <v>37</v>
      </c>
      <c r="L48" s="23">
        <f>ROUND(L47-K48,1)</f>
        <v>131.6</v>
      </c>
      <c r="M48" s="23">
        <f t="shared" si="6"/>
        <v>25.3</v>
      </c>
      <c r="N48" s="23">
        <f t="shared" si="7"/>
        <v>25.1</v>
      </c>
      <c r="O48" s="23">
        <f t="shared" si="8"/>
        <v>0.3</v>
      </c>
      <c r="P48" s="23">
        <f t="shared" si="9"/>
        <v>0.8</v>
      </c>
      <c r="Q48" s="23"/>
      <c r="R48" s="23"/>
    </row>
    <row r="49" spans="1:18" x14ac:dyDescent="0.2">
      <c r="A49" s="23" t="s">
        <v>1</v>
      </c>
      <c r="B49" s="23">
        <v>30</v>
      </c>
      <c r="C49" s="23">
        <v>0</v>
      </c>
      <c r="D49" s="23" t="s">
        <v>40</v>
      </c>
      <c r="E49" s="23">
        <v>240</v>
      </c>
      <c r="F49" s="23">
        <v>4</v>
      </c>
      <c r="G49" s="23">
        <v>1</v>
      </c>
      <c r="H49" s="23">
        <v>32.799999999999997</v>
      </c>
      <c r="I49" s="23">
        <f>ROUND(I48-H49,1)</f>
        <v>98.7</v>
      </c>
      <c r="J49" s="23">
        <f t="shared" si="5"/>
        <v>22.4</v>
      </c>
      <c r="K49" s="23">
        <v>32.200000000000003</v>
      </c>
      <c r="L49" s="23">
        <f>ROUND(L48-K49,1)</f>
        <v>99.4</v>
      </c>
      <c r="M49" s="23">
        <f t="shared" si="6"/>
        <v>22</v>
      </c>
      <c r="N49" s="23">
        <f t="shared" si="7"/>
        <v>22.2</v>
      </c>
      <c r="O49" s="23">
        <f t="shared" si="8"/>
        <v>0.3</v>
      </c>
      <c r="P49" s="23">
        <f t="shared" si="9"/>
        <v>0.7</v>
      </c>
      <c r="Q49" s="23"/>
      <c r="R49" s="23"/>
    </row>
    <row r="50" spans="1:18" x14ac:dyDescent="0.2">
      <c r="A50" s="23" t="s">
        <v>1</v>
      </c>
      <c r="B50" s="23">
        <v>30</v>
      </c>
      <c r="C50" s="23">
        <v>0</v>
      </c>
      <c r="D50" s="23" t="s">
        <v>40</v>
      </c>
      <c r="E50" s="23">
        <v>300</v>
      </c>
      <c r="F50" s="23">
        <v>5</v>
      </c>
      <c r="G50" s="23">
        <v>1</v>
      </c>
      <c r="H50" s="23">
        <v>30</v>
      </c>
      <c r="I50" s="23">
        <f>ROUND(I49-H50,1)</f>
        <v>68.7</v>
      </c>
      <c r="J50" s="23">
        <f t="shared" si="5"/>
        <v>20.5</v>
      </c>
      <c r="K50" s="23">
        <v>30.7</v>
      </c>
      <c r="L50" s="23">
        <f>ROUND(L49-K50,1)</f>
        <v>68.7</v>
      </c>
      <c r="M50" s="23">
        <f t="shared" si="6"/>
        <v>21</v>
      </c>
      <c r="N50" s="23">
        <f t="shared" si="7"/>
        <v>20.8</v>
      </c>
      <c r="O50" s="23">
        <f t="shared" si="8"/>
        <v>0.4</v>
      </c>
      <c r="P50" s="23">
        <f t="shared" si="9"/>
        <v>0.7</v>
      </c>
      <c r="Q50" s="23"/>
      <c r="R50" s="23"/>
    </row>
    <row r="51" spans="1:18" x14ac:dyDescent="0.2">
      <c r="A51" s="25" t="s">
        <v>1</v>
      </c>
      <c r="B51" s="25">
        <v>30</v>
      </c>
      <c r="C51" s="25">
        <v>0</v>
      </c>
      <c r="D51" s="25" t="s">
        <v>55</v>
      </c>
      <c r="E51" s="25">
        <v>60</v>
      </c>
      <c r="F51" s="25">
        <v>1</v>
      </c>
      <c r="G51" s="25">
        <v>1</v>
      </c>
      <c r="H51" s="25">
        <v>41.9</v>
      </c>
      <c r="I51" s="25">
        <f>ROUND($B$6-H51,1)</f>
        <v>208.1</v>
      </c>
      <c r="J51" s="25">
        <f t="shared" si="5"/>
        <v>28.6</v>
      </c>
      <c r="K51" s="25">
        <v>41.1</v>
      </c>
      <c r="L51" s="25">
        <f>ROUND($B$6-K51,1)</f>
        <v>208.9</v>
      </c>
      <c r="M51" s="25">
        <f t="shared" si="6"/>
        <v>28.1</v>
      </c>
      <c r="N51" s="25">
        <f t="shared" si="7"/>
        <v>28.4</v>
      </c>
      <c r="O51" s="25">
        <f t="shared" si="8"/>
        <v>0.4</v>
      </c>
      <c r="P51" s="25">
        <f t="shared" si="9"/>
        <v>0.9</v>
      </c>
      <c r="Q51" s="25">
        <f>ROUND(N51/N45*100,1)</f>
        <v>86.9</v>
      </c>
      <c r="R51" s="25">
        <f>ROUND(STDEV(J51/J45*100,M51/M45*100),1)</f>
        <v>0.1</v>
      </c>
    </row>
    <row r="52" spans="1:18" x14ac:dyDescent="0.2">
      <c r="A52" s="25" t="s">
        <v>1</v>
      </c>
      <c r="B52" s="25">
        <v>30</v>
      </c>
      <c r="C52" s="25">
        <v>0</v>
      </c>
      <c r="D52" s="25" t="s">
        <v>55</v>
      </c>
      <c r="E52" s="25">
        <v>120</v>
      </c>
      <c r="F52" s="25">
        <v>2</v>
      </c>
      <c r="G52" s="25">
        <v>1</v>
      </c>
      <c r="H52" s="25">
        <v>42.5</v>
      </c>
      <c r="I52" s="25">
        <f>ROUND(I51-H52,1)</f>
        <v>165.6</v>
      </c>
      <c r="J52" s="25">
        <f t="shared" si="5"/>
        <v>29</v>
      </c>
      <c r="K52" s="25">
        <v>43.5</v>
      </c>
      <c r="L52" s="25">
        <f>ROUND(L51-K52,1)</f>
        <v>165.4</v>
      </c>
      <c r="M52" s="25">
        <f t="shared" si="6"/>
        <v>29.7</v>
      </c>
      <c r="N52" s="25">
        <f t="shared" si="7"/>
        <v>29.4</v>
      </c>
      <c r="O52" s="25">
        <f t="shared" si="8"/>
        <v>0.5</v>
      </c>
      <c r="P52" s="25">
        <f t="shared" si="9"/>
        <v>1</v>
      </c>
      <c r="Q52" s="25">
        <f>ROUND(N52/N45*100,1)</f>
        <v>89.9</v>
      </c>
      <c r="R52" s="25">
        <f>ROUND(STDEV(J52/J45*100,M52/M45*100),1)</f>
        <v>2.5</v>
      </c>
    </row>
    <row r="53" spans="1:18" x14ac:dyDescent="0.2">
      <c r="A53" s="21" t="s">
        <v>0</v>
      </c>
      <c r="B53" s="21">
        <v>30</v>
      </c>
      <c r="C53" s="21">
        <v>0</v>
      </c>
      <c r="D53" s="21" t="s">
        <v>39</v>
      </c>
      <c r="E53" s="21">
        <v>300</v>
      </c>
      <c r="F53" s="21">
        <v>5</v>
      </c>
      <c r="G53" s="21">
        <v>1</v>
      </c>
      <c r="H53" s="21">
        <v>48.3</v>
      </c>
      <c r="I53" s="21"/>
      <c r="J53" s="21">
        <f t="shared" si="5"/>
        <v>33</v>
      </c>
      <c r="K53" s="21">
        <v>47.7</v>
      </c>
      <c r="L53" s="21"/>
      <c r="M53" s="21">
        <f t="shared" si="6"/>
        <v>32.6</v>
      </c>
      <c r="N53" s="21">
        <f t="shared" si="7"/>
        <v>32.799999999999997</v>
      </c>
      <c r="O53" s="21">
        <f t="shared" si="8"/>
        <v>0.3</v>
      </c>
      <c r="P53" s="21">
        <f t="shared" si="9"/>
        <v>1.1000000000000001</v>
      </c>
      <c r="Q53" s="21"/>
      <c r="R53" s="21"/>
    </row>
    <row r="54" spans="1:18" x14ac:dyDescent="0.2">
      <c r="A54" s="23" t="s">
        <v>0</v>
      </c>
      <c r="B54" s="23">
        <v>30</v>
      </c>
      <c r="C54" s="23">
        <v>0</v>
      </c>
      <c r="D54" s="23" t="s">
        <v>40</v>
      </c>
      <c r="E54" s="23">
        <v>60</v>
      </c>
      <c r="F54" s="23">
        <v>1</v>
      </c>
      <c r="G54" s="23">
        <v>1</v>
      </c>
      <c r="H54" s="23">
        <v>43.2</v>
      </c>
      <c r="I54" s="23">
        <f>ROUND($B$6-H54,1)</f>
        <v>206.8</v>
      </c>
      <c r="J54" s="23">
        <f t="shared" si="5"/>
        <v>29.5</v>
      </c>
      <c r="K54" s="23">
        <v>43.9</v>
      </c>
      <c r="L54" s="23">
        <f>ROUND($B$6-K54,1)</f>
        <v>206.1</v>
      </c>
      <c r="M54" s="23">
        <f t="shared" si="6"/>
        <v>30</v>
      </c>
      <c r="N54" s="23">
        <f t="shared" si="7"/>
        <v>29.8</v>
      </c>
      <c r="O54" s="23">
        <f t="shared" si="8"/>
        <v>0.4</v>
      </c>
      <c r="P54" s="23">
        <f t="shared" si="9"/>
        <v>1</v>
      </c>
      <c r="Q54" s="23"/>
      <c r="R54" s="23"/>
    </row>
    <row r="55" spans="1:18" x14ac:dyDescent="0.2">
      <c r="A55" s="23" t="s">
        <v>0</v>
      </c>
      <c r="B55" s="23">
        <v>30</v>
      </c>
      <c r="C55" s="23">
        <v>0</v>
      </c>
      <c r="D55" s="23" t="s">
        <v>40</v>
      </c>
      <c r="E55" s="23">
        <v>120</v>
      </c>
      <c r="F55" s="23">
        <v>2</v>
      </c>
      <c r="G55" s="23">
        <v>1</v>
      </c>
      <c r="H55" s="23">
        <v>41.2</v>
      </c>
      <c r="I55" s="23">
        <f>ROUND(I54-H55,1)</f>
        <v>165.6</v>
      </c>
      <c r="J55" s="23">
        <f t="shared" si="5"/>
        <v>28.1</v>
      </c>
      <c r="K55" s="23">
        <v>40.700000000000003</v>
      </c>
      <c r="L55" s="23">
        <f>ROUND(L54-K55,1)</f>
        <v>165.4</v>
      </c>
      <c r="M55" s="23">
        <f t="shared" si="6"/>
        <v>27.8</v>
      </c>
      <c r="N55" s="23">
        <f t="shared" si="7"/>
        <v>28</v>
      </c>
      <c r="O55" s="23">
        <f t="shared" si="8"/>
        <v>0.2</v>
      </c>
      <c r="P55" s="23">
        <f t="shared" si="9"/>
        <v>0.9</v>
      </c>
      <c r="Q55" s="23"/>
      <c r="R55" s="23"/>
    </row>
    <row r="56" spans="1:18" x14ac:dyDescent="0.2">
      <c r="A56" s="23" t="s">
        <v>0</v>
      </c>
      <c r="B56" s="23">
        <v>30</v>
      </c>
      <c r="C56" s="23">
        <v>0</v>
      </c>
      <c r="D56" s="23" t="s">
        <v>40</v>
      </c>
      <c r="E56" s="23">
        <v>180</v>
      </c>
      <c r="F56" s="23">
        <v>3</v>
      </c>
      <c r="G56" s="23">
        <v>1</v>
      </c>
      <c r="H56" s="23">
        <v>36.799999999999997</v>
      </c>
      <c r="I56" s="23">
        <f>ROUND(I55-H56,1)</f>
        <v>128.80000000000001</v>
      </c>
      <c r="J56" s="23">
        <f t="shared" si="5"/>
        <v>25.1</v>
      </c>
      <c r="K56" s="23">
        <v>37.799999999999997</v>
      </c>
      <c r="L56" s="23">
        <f>ROUND(L55-K56,1)</f>
        <v>127.6</v>
      </c>
      <c r="M56" s="23">
        <f t="shared" si="6"/>
        <v>25.8</v>
      </c>
      <c r="N56" s="23">
        <f t="shared" si="7"/>
        <v>25.5</v>
      </c>
      <c r="O56" s="23">
        <f t="shared" si="8"/>
        <v>0.5</v>
      </c>
      <c r="P56" s="23">
        <f t="shared" si="9"/>
        <v>0.9</v>
      </c>
      <c r="Q56" s="23"/>
      <c r="R56" s="23"/>
    </row>
    <row r="57" spans="1:18" x14ac:dyDescent="0.2">
      <c r="A57" s="23" t="s">
        <v>0</v>
      </c>
      <c r="B57" s="23">
        <v>30</v>
      </c>
      <c r="C57" s="23">
        <v>0</v>
      </c>
      <c r="D57" s="23" t="s">
        <v>40</v>
      </c>
      <c r="E57" s="23">
        <v>240</v>
      </c>
      <c r="F57" s="23">
        <v>4</v>
      </c>
      <c r="G57" s="23">
        <v>1</v>
      </c>
      <c r="H57" s="23">
        <v>35.9</v>
      </c>
      <c r="I57" s="23">
        <f>ROUND(I56-H57,1)</f>
        <v>92.9</v>
      </c>
      <c r="J57" s="23">
        <f t="shared" si="5"/>
        <v>24.5</v>
      </c>
      <c r="K57" s="23">
        <v>35.5</v>
      </c>
      <c r="L57" s="23">
        <f>ROUND(L56-K57,1)</f>
        <v>92.1</v>
      </c>
      <c r="M57" s="23">
        <f t="shared" si="6"/>
        <v>24.2</v>
      </c>
      <c r="N57" s="23">
        <f t="shared" si="7"/>
        <v>24.4</v>
      </c>
      <c r="O57" s="23">
        <f t="shared" si="8"/>
        <v>0.2</v>
      </c>
      <c r="P57" s="23">
        <f t="shared" si="9"/>
        <v>0.8</v>
      </c>
      <c r="Q57" s="23"/>
      <c r="R57" s="23"/>
    </row>
    <row r="58" spans="1:18" x14ac:dyDescent="0.2">
      <c r="A58" s="23" t="s">
        <v>0</v>
      </c>
      <c r="B58" s="23">
        <v>30</v>
      </c>
      <c r="C58" s="23">
        <v>0</v>
      </c>
      <c r="D58" s="23" t="s">
        <v>40</v>
      </c>
      <c r="E58" s="23">
        <v>300</v>
      </c>
      <c r="F58" s="23">
        <v>5</v>
      </c>
      <c r="G58" s="23">
        <v>1</v>
      </c>
      <c r="H58" s="23">
        <v>33.9</v>
      </c>
      <c r="I58" s="23">
        <f>ROUND(I57-H58,1)</f>
        <v>59</v>
      </c>
      <c r="J58" s="23">
        <f t="shared" si="5"/>
        <v>23.2</v>
      </c>
      <c r="K58" s="23">
        <v>34.5</v>
      </c>
      <c r="L58" s="23">
        <f>ROUND(L57-K58,1)</f>
        <v>57.6</v>
      </c>
      <c r="M58" s="23">
        <f t="shared" si="6"/>
        <v>23.6</v>
      </c>
      <c r="N58" s="23">
        <f t="shared" si="7"/>
        <v>23.4</v>
      </c>
      <c r="O58" s="23">
        <f t="shared" si="8"/>
        <v>0.3</v>
      </c>
      <c r="P58" s="23">
        <f t="shared" si="9"/>
        <v>0.8</v>
      </c>
      <c r="Q58" s="23"/>
      <c r="R58" s="23"/>
    </row>
    <row r="59" spans="1:18" x14ac:dyDescent="0.2">
      <c r="A59" s="25" t="s">
        <v>0</v>
      </c>
      <c r="B59" s="25">
        <v>30</v>
      </c>
      <c r="C59" s="25">
        <v>0</v>
      </c>
      <c r="D59" s="25" t="s">
        <v>55</v>
      </c>
      <c r="E59" s="25">
        <v>60</v>
      </c>
      <c r="F59" s="25">
        <v>1</v>
      </c>
      <c r="G59" s="25">
        <v>1</v>
      </c>
      <c r="H59" s="25">
        <v>46.2</v>
      </c>
      <c r="I59" s="25">
        <f>ROUND($B$6-H59,1)</f>
        <v>203.8</v>
      </c>
      <c r="J59" s="25">
        <f t="shared" si="5"/>
        <v>31.6</v>
      </c>
      <c r="K59" s="25">
        <v>45.5</v>
      </c>
      <c r="L59" s="25">
        <f>ROUND($B$6-K59,1)</f>
        <v>204.5</v>
      </c>
      <c r="M59" s="25">
        <f t="shared" si="6"/>
        <v>31.1</v>
      </c>
      <c r="N59" s="25">
        <f t="shared" si="7"/>
        <v>31.4</v>
      </c>
      <c r="O59" s="25">
        <f t="shared" si="8"/>
        <v>0.4</v>
      </c>
      <c r="P59" s="25">
        <f t="shared" si="9"/>
        <v>1</v>
      </c>
      <c r="Q59" s="25">
        <f>ROUND(N59/N53*100,1)</f>
        <v>95.7</v>
      </c>
      <c r="R59" s="25">
        <f>ROUND(STDEV(J59/J53*100,M59/M53*100),1)</f>
        <v>0.3</v>
      </c>
    </row>
    <row r="60" spans="1:18" x14ac:dyDescent="0.2">
      <c r="A60" s="25" t="s">
        <v>0</v>
      </c>
      <c r="B60" s="25">
        <v>30</v>
      </c>
      <c r="C60" s="25">
        <v>0</v>
      </c>
      <c r="D60" s="25" t="s">
        <v>55</v>
      </c>
      <c r="E60" s="25">
        <v>120</v>
      </c>
      <c r="F60" s="25">
        <v>2</v>
      </c>
      <c r="G60" s="25">
        <v>1</v>
      </c>
      <c r="H60" s="25">
        <v>46.1</v>
      </c>
      <c r="I60" s="25">
        <f>ROUND(I59-H60,1)</f>
        <v>157.69999999999999</v>
      </c>
      <c r="J60" s="25">
        <f t="shared" si="5"/>
        <v>31.5</v>
      </c>
      <c r="K60" s="25">
        <v>46.9</v>
      </c>
      <c r="L60" s="25">
        <f>ROUND(L59-K60,1)</f>
        <v>157.6</v>
      </c>
      <c r="M60" s="25">
        <f t="shared" si="6"/>
        <v>32</v>
      </c>
      <c r="N60" s="25">
        <f t="shared" si="7"/>
        <v>31.8</v>
      </c>
      <c r="O60" s="25">
        <f t="shared" si="8"/>
        <v>0.4</v>
      </c>
      <c r="P60" s="25">
        <f t="shared" si="9"/>
        <v>1.1000000000000001</v>
      </c>
      <c r="Q60" s="25">
        <f>ROUND(N60/N53*100,1)</f>
        <v>97</v>
      </c>
      <c r="R60" s="25">
        <f>ROUND(STDEV(J60/J53*100,M60/M53*100),1)</f>
        <v>1.9</v>
      </c>
    </row>
    <row r="61" spans="1:18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spans="1:18" x14ac:dyDescent="0.2">
      <c r="A62" s="34" t="s">
        <v>57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1:18" ht="34" x14ac:dyDescent="0.2">
      <c r="A63" s="33" t="s">
        <v>19</v>
      </c>
      <c r="B63" s="33" t="s">
        <v>26</v>
      </c>
      <c r="C63" s="33" t="s">
        <v>53</v>
      </c>
      <c r="D63" s="33" t="s">
        <v>27</v>
      </c>
      <c r="E63" s="33" t="s">
        <v>28</v>
      </c>
      <c r="F63" s="33" t="s">
        <v>4</v>
      </c>
      <c r="G63" s="33" t="s">
        <v>29</v>
      </c>
      <c r="H63" s="33" t="s">
        <v>30</v>
      </c>
      <c r="I63" s="33" t="s">
        <v>31</v>
      </c>
      <c r="J63" s="33" t="s">
        <v>32</v>
      </c>
      <c r="K63" s="33" t="s">
        <v>33</v>
      </c>
      <c r="L63" s="33" t="s">
        <v>34</v>
      </c>
      <c r="M63" s="33" t="s">
        <v>35</v>
      </c>
      <c r="N63" s="33" t="s">
        <v>36</v>
      </c>
      <c r="O63" s="33" t="s">
        <v>37</v>
      </c>
      <c r="P63" s="33" t="s">
        <v>38</v>
      </c>
      <c r="Q63" s="33" t="s">
        <v>54</v>
      </c>
      <c r="R63" s="33" t="s">
        <v>44</v>
      </c>
    </row>
    <row r="64" spans="1:18" x14ac:dyDescent="0.2">
      <c r="A64" s="21" t="s">
        <v>5</v>
      </c>
      <c r="B64" s="21">
        <v>12</v>
      </c>
      <c r="C64" s="21">
        <v>0</v>
      </c>
      <c r="D64" s="21" t="s">
        <v>39</v>
      </c>
      <c r="E64" s="21">
        <v>300</v>
      </c>
      <c r="F64" s="21">
        <v>5</v>
      </c>
      <c r="G64" s="21">
        <v>1</v>
      </c>
      <c r="H64" s="21">
        <v>47.5</v>
      </c>
      <c r="I64" s="21"/>
      <c r="J64" s="21">
        <f t="shared" ref="J64:J87" si="10">ROUND(H64/1000/$B$2/G64,1)</f>
        <v>32.4</v>
      </c>
      <c r="K64" s="21">
        <v>48.1</v>
      </c>
      <c r="L64" s="21"/>
      <c r="M64" s="21">
        <f t="shared" ref="M64:M87" si="11">ROUND(K64/1000/$B$2/G64,1)</f>
        <v>32.9</v>
      </c>
      <c r="N64" s="21">
        <f t="shared" ref="N64:N87" si="12">ROUND(AVERAGE(J64,M64),1)</f>
        <v>32.700000000000003</v>
      </c>
      <c r="O64" s="21">
        <f t="shared" ref="O64:O87" si="13">ROUND(STDEV(J64,M64),1)</f>
        <v>0.4</v>
      </c>
      <c r="P64" s="21">
        <f t="shared" ref="P64:P87" si="14">ROUND(N64/B64,1)</f>
        <v>2.7</v>
      </c>
      <c r="Q64" s="21"/>
      <c r="R64" s="21"/>
    </row>
    <row r="65" spans="1:18" x14ac:dyDescent="0.2">
      <c r="A65" s="23" t="s">
        <v>5</v>
      </c>
      <c r="B65" s="23">
        <v>12</v>
      </c>
      <c r="C65" s="23">
        <v>0</v>
      </c>
      <c r="D65" s="23" t="s">
        <v>40</v>
      </c>
      <c r="E65" s="23">
        <v>60</v>
      </c>
      <c r="F65" s="23">
        <v>1</v>
      </c>
      <c r="G65" s="23">
        <v>1</v>
      </c>
      <c r="H65" s="23">
        <v>43.7</v>
      </c>
      <c r="I65" s="23">
        <f>ROUND($B$6-H65,1)</f>
        <v>206.3</v>
      </c>
      <c r="J65" s="23">
        <f t="shared" si="10"/>
        <v>29.8</v>
      </c>
      <c r="K65" s="23">
        <v>43</v>
      </c>
      <c r="L65" s="23">
        <f>ROUND($B$6-K65,1)</f>
        <v>207</v>
      </c>
      <c r="M65" s="23">
        <f t="shared" si="11"/>
        <v>29.4</v>
      </c>
      <c r="N65" s="23">
        <f t="shared" si="12"/>
        <v>29.6</v>
      </c>
      <c r="O65" s="23">
        <f t="shared" si="13"/>
        <v>0.3</v>
      </c>
      <c r="P65" s="23">
        <f t="shared" si="14"/>
        <v>2.5</v>
      </c>
      <c r="Q65" s="23"/>
      <c r="R65" s="23"/>
    </row>
    <row r="66" spans="1:18" x14ac:dyDescent="0.2">
      <c r="A66" s="23" t="s">
        <v>5</v>
      </c>
      <c r="B66" s="23">
        <v>12</v>
      </c>
      <c r="C66" s="23">
        <v>0</v>
      </c>
      <c r="D66" s="23" t="s">
        <v>40</v>
      </c>
      <c r="E66" s="23">
        <v>120</v>
      </c>
      <c r="F66" s="23">
        <v>2</v>
      </c>
      <c r="G66" s="23">
        <v>1</v>
      </c>
      <c r="H66" s="23">
        <v>36.1</v>
      </c>
      <c r="I66" s="23">
        <f>ROUND(I65-H66,1)</f>
        <v>170.2</v>
      </c>
      <c r="J66" s="23">
        <f t="shared" si="10"/>
        <v>24.7</v>
      </c>
      <c r="K66" s="23">
        <v>36.6</v>
      </c>
      <c r="L66" s="23">
        <f>ROUND(L65-K66,1)</f>
        <v>170.4</v>
      </c>
      <c r="M66" s="23">
        <f t="shared" si="11"/>
        <v>25</v>
      </c>
      <c r="N66" s="23">
        <f t="shared" si="12"/>
        <v>24.9</v>
      </c>
      <c r="O66" s="23">
        <f t="shared" si="13"/>
        <v>0.2</v>
      </c>
      <c r="P66" s="23">
        <f t="shared" si="14"/>
        <v>2.1</v>
      </c>
      <c r="Q66" s="23"/>
      <c r="R66" s="23"/>
    </row>
    <row r="67" spans="1:18" x14ac:dyDescent="0.2">
      <c r="A67" s="23" t="s">
        <v>5</v>
      </c>
      <c r="B67" s="23">
        <v>12</v>
      </c>
      <c r="C67" s="23">
        <v>0</v>
      </c>
      <c r="D67" s="23" t="s">
        <v>40</v>
      </c>
      <c r="E67" s="23">
        <v>180</v>
      </c>
      <c r="F67" s="23">
        <v>3</v>
      </c>
      <c r="G67" s="23">
        <v>1</v>
      </c>
      <c r="H67" s="23">
        <v>33.200000000000003</v>
      </c>
      <c r="I67" s="23">
        <f>ROUND(I66-H67,1)</f>
        <v>137</v>
      </c>
      <c r="J67" s="23">
        <f t="shared" si="10"/>
        <v>22.7</v>
      </c>
      <c r="K67" s="23">
        <v>32.200000000000003</v>
      </c>
      <c r="L67" s="23">
        <f>ROUND(L66-K67,1)</f>
        <v>138.19999999999999</v>
      </c>
      <c r="M67" s="23">
        <f t="shared" si="11"/>
        <v>22</v>
      </c>
      <c r="N67" s="23">
        <f t="shared" si="12"/>
        <v>22.4</v>
      </c>
      <c r="O67" s="23">
        <f t="shared" si="13"/>
        <v>0.5</v>
      </c>
      <c r="P67" s="23">
        <f t="shared" si="14"/>
        <v>1.9</v>
      </c>
      <c r="Q67" s="23"/>
      <c r="R67" s="23"/>
    </row>
    <row r="68" spans="1:18" x14ac:dyDescent="0.2">
      <c r="A68" s="23" t="s">
        <v>5</v>
      </c>
      <c r="B68" s="23">
        <v>12</v>
      </c>
      <c r="C68" s="23">
        <v>0</v>
      </c>
      <c r="D68" s="23" t="s">
        <v>40</v>
      </c>
      <c r="E68" s="23">
        <v>240</v>
      </c>
      <c r="F68" s="23">
        <v>4</v>
      </c>
      <c r="G68" s="23">
        <v>1</v>
      </c>
      <c r="H68" s="23">
        <v>24.6</v>
      </c>
      <c r="I68" s="23">
        <f>ROUND(I67-H68,1)</f>
        <v>112.4</v>
      </c>
      <c r="J68" s="23">
        <f t="shared" si="10"/>
        <v>16.8</v>
      </c>
      <c r="K68" s="23">
        <v>25.1</v>
      </c>
      <c r="L68" s="23">
        <f>ROUND(L67-K68,1)</f>
        <v>113.1</v>
      </c>
      <c r="M68" s="23">
        <f t="shared" si="11"/>
        <v>17.100000000000001</v>
      </c>
      <c r="N68" s="23">
        <f t="shared" si="12"/>
        <v>17</v>
      </c>
      <c r="O68" s="23">
        <f t="shared" si="13"/>
        <v>0.2</v>
      </c>
      <c r="P68" s="23">
        <f t="shared" si="14"/>
        <v>1.4</v>
      </c>
      <c r="Q68" s="23"/>
      <c r="R68" s="23"/>
    </row>
    <row r="69" spans="1:18" x14ac:dyDescent="0.2">
      <c r="A69" s="23" t="s">
        <v>5</v>
      </c>
      <c r="B69" s="23">
        <v>12</v>
      </c>
      <c r="C69" s="23">
        <v>0</v>
      </c>
      <c r="D69" s="23" t="s">
        <v>40</v>
      </c>
      <c r="E69" s="23">
        <v>300</v>
      </c>
      <c r="F69" s="23">
        <v>5</v>
      </c>
      <c r="G69" s="23">
        <v>1</v>
      </c>
      <c r="H69" s="23">
        <v>22.4</v>
      </c>
      <c r="I69" s="23">
        <f>ROUND(I68-H69,1)</f>
        <v>90</v>
      </c>
      <c r="J69" s="23">
        <f t="shared" si="10"/>
        <v>15.3</v>
      </c>
      <c r="K69" s="23">
        <v>21.8</v>
      </c>
      <c r="L69" s="23">
        <f>ROUND(L68-K69,1)</f>
        <v>91.3</v>
      </c>
      <c r="M69" s="23">
        <f t="shared" si="11"/>
        <v>14.9</v>
      </c>
      <c r="N69" s="23">
        <f t="shared" si="12"/>
        <v>15.1</v>
      </c>
      <c r="O69" s="23">
        <f t="shared" si="13"/>
        <v>0.3</v>
      </c>
      <c r="P69" s="23">
        <f t="shared" si="14"/>
        <v>1.3</v>
      </c>
      <c r="Q69" s="23"/>
      <c r="R69" s="23"/>
    </row>
    <row r="70" spans="1:18" x14ac:dyDescent="0.2">
      <c r="A70" s="25" t="s">
        <v>5</v>
      </c>
      <c r="B70" s="25">
        <v>12</v>
      </c>
      <c r="C70" s="25">
        <v>0</v>
      </c>
      <c r="D70" s="25" t="s">
        <v>55</v>
      </c>
      <c r="E70" s="25">
        <v>60</v>
      </c>
      <c r="F70" s="25">
        <v>1</v>
      </c>
      <c r="G70" s="25">
        <v>1</v>
      </c>
      <c r="H70" s="25">
        <v>41.1</v>
      </c>
      <c r="I70" s="25">
        <f>ROUND($B$6-H70,1)</f>
        <v>208.9</v>
      </c>
      <c r="J70" s="25">
        <f t="shared" si="10"/>
        <v>28.1</v>
      </c>
      <c r="K70" s="25">
        <v>41.8</v>
      </c>
      <c r="L70" s="25">
        <f>ROUND($B$6-K70,1)</f>
        <v>208.2</v>
      </c>
      <c r="M70" s="25">
        <f t="shared" si="11"/>
        <v>28.6</v>
      </c>
      <c r="N70" s="25">
        <f t="shared" si="12"/>
        <v>28.4</v>
      </c>
      <c r="O70" s="25">
        <f t="shared" si="13"/>
        <v>0.4</v>
      </c>
      <c r="P70" s="25">
        <f t="shared" si="14"/>
        <v>2.4</v>
      </c>
      <c r="Q70" s="25">
        <f>ROUND(N70/N64*100,1)</f>
        <v>86.9</v>
      </c>
      <c r="R70" s="25">
        <f>ROUND(STDEV(J70/J64*100,M70/M64*100),1)</f>
        <v>0.1</v>
      </c>
    </row>
    <row r="71" spans="1:18" x14ac:dyDescent="0.2">
      <c r="A71" s="25" t="s">
        <v>5</v>
      </c>
      <c r="B71" s="25">
        <v>12</v>
      </c>
      <c r="C71" s="25">
        <v>0</v>
      </c>
      <c r="D71" s="25" t="s">
        <v>55</v>
      </c>
      <c r="E71" s="25">
        <v>120</v>
      </c>
      <c r="F71" s="25">
        <v>2</v>
      </c>
      <c r="G71" s="25">
        <v>1</v>
      </c>
      <c r="H71" s="25">
        <v>43.4</v>
      </c>
      <c r="I71" s="25">
        <f>ROUND(I70-H71,1)</f>
        <v>165.5</v>
      </c>
      <c r="J71" s="25">
        <f t="shared" si="10"/>
        <v>29.6</v>
      </c>
      <c r="K71" s="25">
        <v>42.6</v>
      </c>
      <c r="L71" s="25">
        <f>ROUND(L70-K71,1)</f>
        <v>165.6</v>
      </c>
      <c r="M71" s="25">
        <f t="shared" si="11"/>
        <v>29.1</v>
      </c>
      <c r="N71" s="25">
        <f t="shared" si="12"/>
        <v>29.4</v>
      </c>
      <c r="O71" s="25">
        <f t="shared" si="13"/>
        <v>0.4</v>
      </c>
      <c r="P71" s="25">
        <f t="shared" si="14"/>
        <v>2.5</v>
      </c>
      <c r="Q71" s="25">
        <f>ROUND(N71/N64*100,1)</f>
        <v>89.9</v>
      </c>
      <c r="R71" s="25">
        <f>ROUND(STDEV(J71/J64*100,M71/M64*100),1)</f>
        <v>2.1</v>
      </c>
    </row>
    <row r="72" spans="1:18" x14ac:dyDescent="0.2">
      <c r="A72" s="21" t="s">
        <v>1</v>
      </c>
      <c r="B72" s="21">
        <v>30</v>
      </c>
      <c r="C72" s="21">
        <v>0</v>
      </c>
      <c r="D72" s="21" t="s">
        <v>39</v>
      </c>
      <c r="E72" s="21">
        <v>300</v>
      </c>
      <c r="F72" s="21">
        <v>5</v>
      </c>
      <c r="G72" s="21">
        <v>1</v>
      </c>
      <c r="H72" s="21">
        <v>47.5</v>
      </c>
      <c r="I72" s="21"/>
      <c r="J72" s="21">
        <f t="shared" si="10"/>
        <v>32.4</v>
      </c>
      <c r="K72" s="21">
        <v>48.4</v>
      </c>
      <c r="L72" s="21"/>
      <c r="M72" s="21">
        <f t="shared" si="11"/>
        <v>33.1</v>
      </c>
      <c r="N72" s="21">
        <f t="shared" si="12"/>
        <v>32.799999999999997</v>
      </c>
      <c r="O72" s="21">
        <f t="shared" si="13"/>
        <v>0.5</v>
      </c>
      <c r="P72" s="21">
        <f t="shared" si="14"/>
        <v>1.1000000000000001</v>
      </c>
      <c r="Q72" s="21"/>
      <c r="R72" s="21"/>
    </row>
    <row r="73" spans="1:18" x14ac:dyDescent="0.2">
      <c r="A73" s="23" t="s">
        <v>1</v>
      </c>
      <c r="B73" s="23">
        <v>30</v>
      </c>
      <c r="C73" s="23">
        <v>0</v>
      </c>
      <c r="D73" s="23" t="s">
        <v>40</v>
      </c>
      <c r="E73" s="23">
        <v>60</v>
      </c>
      <c r="F73" s="23">
        <v>1</v>
      </c>
      <c r="G73" s="23">
        <v>1</v>
      </c>
      <c r="H73" s="23">
        <v>43.2</v>
      </c>
      <c r="I73" s="23">
        <f>ROUND($B$6-H73,1)</f>
        <v>206.8</v>
      </c>
      <c r="J73" s="23">
        <f t="shared" si="10"/>
        <v>29.5</v>
      </c>
      <c r="K73" s="23">
        <v>42.6</v>
      </c>
      <c r="L73" s="23">
        <f>ROUND($B$6-K73,1)</f>
        <v>207.4</v>
      </c>
      <c r="M73" s="23">
        <f t="shared" si="11"/>
        <v>29.1</v>
      </c>
      <c r="N73" s="23">
        <f t="shared" si="12"/>
        <v>29.3</v>
      </c>
      <c r="O73" s="23">
        <f t="shared" si="13"/>
        <v>0.3</v>
      </c>
      <c r="P73" s="23">
        <f t="shared" si="14"/>
        <v>1</v>
      </c>
      <c r="Q73" s="23"/>
      <c r="R73" s="23"/>
    </row>
    <row r="74" spans="1:18" x14ac:dyDescent="0.2">
      <c r="A74" s="23" t="s">
        <v>1</v>
      </c>
      <c r="B74" s="23">
        <v>30</v>
      </c>
      <c r="C74" s="23">
        <v>0</v>
      </c>
      <c r="D74" s="23" t="s">
        <v>40</v>
      </c>
      <c r="E74" s="23">
        <v>120</v>
      </c>
      <c r="F74" s="23">
        <v>2</v>
      </c>
      <c r="G74" s="23">
        <v>1</v>
      </c>
      <c r="H74" s="23">
        <v>38.6</v>
      </c>
      <c r="I74" s="23">
        <f>ROUND(I73-H74,1)</f>
        <v>168.2</v>
      </c>
      <c r="J74" s="23">
        <f t="shared" si="10"/>
        <v>26.4</v>
      </c>
      <c r="K74" s="23">
        <v>39.299999999999997</v>
      </c>
      <c r="L74" s="23">
        <f>ROUND(L73-K74,1)</f>
        <v>168.1</v>
      </c>
      <c r="M74" s="23">
        <f t="shared" si="11"/>
        <v>26.8</v>
      </c>
      <c r="N74" s="23">
        <f t="shared" si="12"/>
        <v>26.6</v>
      </c>
      <c r="O74" s="23">
        <f t="shared" si="13"/>
        <v>0.3</v>
      </c>
      <c r="P74" s="23">
        <f t="shared" si="14"/>
        <v>0.9</v>
      </c>
      <c r="Q74" s="23"/>
      <c r="R74" s="23"/>
    </row>
    <row r="75" spans="1:18" x14ac:dyDescent="0.2">
      <c r="A75" s="23" t="s">
        <v>1</v>
      </c>
      <c r="B75" s="23">
        <v>30</v>
      </c>
      <c r="C75" s="23">
        <v>0</v>
      </c>
      <c r="D75" s="23" t="s">
        <v>40</v>
      </c>
      <c r="E75" s="23">
        <v>180</v>
      </c>
      <c r="F75" s="23">
        <v>3</v>
      </c>
      <c r="G75" s="23">
        <v>1</v>
      </c>
      <c r="H75" s="23">
        <v>37.1</v>
      </c>
      <c r="I75" s="23">
        <f>ROUND(I74-H75,1)</f>
        <v>131.1</v>
      </c>
      <c r="J75" s="23">
        <f t="shared" si="10"/>
        <v>25.3</v>
      </c>
      <c r="K75" s="23">
        <v>36.6</v>
      </c>
      <c r="L75" s="23">
        <f>ROUND(L74-K75,1)</f>
        <v>131.5</v>
      </c>
      <c r="M75" s="23">
        <f t="shared" si="11"/>
        <v>25</v>
      </c>
      <c r="N75" s="23">
        <f t="shared" si="12"/>
        <v>25.2</v>
      </c>
      <c r="O75" s="23">
        <f t="shared" si="13"/>
        <v>0.2</v>
      </c>
      <c r="P75" s="23">
        <f t="shared" si="14"/>
        <v>0.8</v>
      </c>
      <c r="Q75" s="23"/>
      <c r="R75" s="23"/>
    </row>
    <row r="76" spans="1:18" x14ac:dyDescent="0.2">
      <c r="A76" s="23" t="s">
        <v>1</v>
      </c>
      <c r="B76" s="23">
        <v>30</v>
      </c>
      <c r="C76" s="23">
        <v>0</v>
      </c>
      <c r="D76" s="23" t="s">
        <v>40</v>
      </c>
      <c r="E76" s="23">
        <v>240</v>
      </c>
      <c r="F76" s="23">
        <v>4</v>
      </c>
      <c r="G76" s="23">
        <v>1</v>
      </c>
      <c r="H76" s="23">
        <v>32.1</v>
      </c>
      <c r="I76" s="23">
        <f>ROUND(I75-H76,1)</f>
        <v>99</v>
      </c>
      <c r="J76" s="23">
        <f t="shared" si="10"/>
        <v>21.9</v>
      </c>
      <c r="K76" s="23">
        <v>33.1</v>
      </c>
      <c r="L76" s="23">
        <f>ROUND(L75-K76,1)</f>
        <v>98.4</v>
      </c>
      <c r="M76" s="23">
        <f t="shared" si="11"/>
        <v>22.6</v>
      </c>
      <c r="N76" s="23">
        <f t="shared" si="12"/>
        <v>22.3</v>
      </c>
      <c r="O76" s="23">
        <f t="shared" si="13"/>
        <v>0.5</v>
      </c>
      <c r="P76" s="23">
        <f t="shared" si="14"/>
        <v>0.7</v>
      </c>
      <c r="Q76" s="23"/>
      <c r="R76" s="23"/>
    </row>
    <row r="77" spans="1:18" x14ac:dyDescent="0.2">
      <c r="A77" s="23" t="s">
        <v>1</v>
      </c>
      <c r="B77" s="23">
        <v>30</v>
      </c>
      <c r="C77" s="23">
        <v>0</v>
      </c>
      <c r="D77" s="23" t="s">
        <v>40</v>
      </c>
      <c r="E77" s="23">
        <v>300</v>
      </c>
      <c r="F77" s="23">
        <v>5</v>
      </c>
      <c r="G77" s="23">
        <v>1</v>
      </c>
      <c r="H77" s="23">
        <v>30.8</v>
      </c>
      <c r="I77" s="23">
        <f>ROUND(I76-H77,1)</f>
        <v>68.2</v>
      </c>
      <c r="J77" s="23">
        <f t="shared" si="10"/>
        <v>21</v>
      </c>
      <c r="K77" s="23">
        <v>30.3</v>
      </c>
      <c r="L77" s="23">
        <f>ROUND(L76-K77,1)</f>
        <v>68.099999999999994</v>
      </c>
      <c r="M77" s="23">
        <f t="shared" si="11"/>
        <v>20.7</v>
      </c>
      <c r="N77" s="23">
        <f t="shared" si="12"/>
        <v>20.9</v>
      </c>
      <c r="O77" s="23">
        <f t="shared" si="13"/>
        <v>0.2</v>
      </c>
      <c r="P77" s="23">
        <f t="shared" si="14"/>
        <v>0.7</v>
      </c>
      <c r="Q77" s="23"/>
      <c r="R77" s="23"/>
    </row>
    <row r="78" spans="1:18" x14ac:dyDescent="0.2">
      <c r="A78" s="25" t="s">
        <v>1</v>
      </c>
      <c r="B78" s="25">
        <v>30</v>
      </c>
      <c r="C78" s="25">
        <v>0</v>
      </c>
      <c r="D78" s="25" t="s">
        <v>55</v>
      </c>
      <c r="E78" s="25">
        <v>60</v>
      </c>
      <c r="F78" s="25">
        <v>1</v>
      </c>
      <c r="G78" s="25">
        <v>1</v>
      </c>
      <c r="H78" s="25">
        <v>42.3</v>
      </c>
      <c r="I78" s="25">
        <f>ROUND($B$6-H78,1)</f>
        <v>207.7</v>
      </c>
      <c r="J78" s="25">
        <f t="shared" si="10"/>
        <v>28.9</v>
      </c>
      <c r="K78" s="25">
        <v>42.8</v>
      </c>
      <c r="L78" s="25">
        <f>ROUND($B$6-K78,1)</f>
        <v>207.2</v>
      </c>
      <c r="M78" s="25">
        <f t="shared" si="11"/>
        <v>29.2</v>
      </c>
      <c r="N78" s="25">
        <f t="shared" si="12"/>
        <v>29.1</v>
      </c>
      <c r="O78" s="25">
        <f t="shared" si="13"/>
        <v>0.2</v>
      </c>
      <c r="P78" s="25">
        <f t="shared" si="14"/>
        <v>1</v>
      </c>
      <c r="Q78" s="25">
        <f>ROUND(N78/N72*100,1)</f>
        <v>88.7</v>
      </c>
      <c r="R78" s="25">
        <f>ROUND(STDEV(J78/J72*100,M78/M72*100),1)</f>
        <v>0.7</v>
      </c>
    </row>
    <row r="79" spans="1:18" x14ac:dyDescent="0.2">
      <c r="A79" s="25" t="s">
        <v>1</v>
      </c>
      <c r="B79" s="25">
        <v>30</v>
      </c>
      <c r="C79" s="25">
        <v>0</v>
      </c>
      <c r="D79" s="25" t="s">
        <v>55</v>
      </c>
      <c r="E79" s="25">
        <v>120</v>
      </c>
      <c r="F79" s="25">
        <v>2</v>
      </c>
      <c r="G79" s="25">
        <v>1</v>
      </c>
      <c r="H79" s="25">
        <v>44.4</v>
      </c>
      <c r="I79" s="25">
        <f>ROUND(I78-H79,1)</f>
        <v>163.30000000000001</v>
      </c>
      <c r="J79" s="25">
        <f t="shared" si="10"/>
        <v>30.3</v>
      </c>
      <c r="K79" s="25">
        <v>43.7</v>
      </c>
      <c r="L79" s="25">
        <f>ROUND(L78-K79,1)</f>
        <v>163.5</v>
      </c>
      <c r="M79" s="25">
        <f t="shared" si="11"/>
        <v>29.8</v>
      </c>
      <c r="N79" s="25">
        <f t="shared" si="12"/>
        <v>30.1</v>
      </c>
      <c r="O79" s="25">
        <f t="shared" si="13"/>
        <v>0.4</v>
      </c>
      <c r="P79" s="25">
        <f t="shared" si="14"/>
        <v>1</v>
      </c>
      <c r="Q79" s="25">
        <f>ROUND(N79/N72*100,1)</f>
        <v>91.8</v>
      </c>
      <c r="R79" s="25">
        <f>ROUND(STDEV(J79/J72*100,M79/M72*100),1)</f>
        <v>2.5</v>
      </c>
    </row>
    <row r="80" spans="1:18" x14ac:dyDescent="0.2">
      <c r="A80" s="21" t="s">
        <v>0</v>
      </c>
      <c r="B80" s="21">
        <v>30</v>
      </c>
      <c r="C80" s="21">
        <v>0</v>
      </c>
      <c r="D80" s="21" t="s">
        <v>39</v>
      </c>
      <c r="E80" s="21">
        <v>300</v>
      </c>
      <c r="F80" s="21">
        <v>5</v>
      </c>
      <c r="G80" s="21">
        <v>1</v>
      </c>
      <c r="H80" s="21">
        <v>47.7</v>
      </c>
      <c r="I80" s="21"/>
      <c r="J80" s="21">
        <f t="shared" si="10"/>
        <v>32.6</v>
      </c>
      <c r="K80" s="21">
        <v>48.5</v>
      </c>
      <c r="L80" s="21"/>
      <c r="M80" s="21">
        <f t="shared" si="11"/>
        <v>33.1</v>
      </c>
      <c r="N80" s="21">
        <f t="shared" si="12"/>
        <v>32.9</v>
      </c>
      <c r="O80" s="21">
        <f t="shared" si="13"/>
        <v>0.4</v>
      </c>
      <c r="P80" s="21">
        <f t="shared" si="14"/>
        <v>1.1000000000000001</v>
      </c>
      <c r="Q80" s="21"/>
      <c r="R80" s="21"/>
    </row>
    <row r="81" spans="1:18" x14ac:dyDescent="0.2">
      <c r="A81" s="23" t="s">
        <v>0</v>
      </c>
      <c r="B81" s="23">
        <v>30</v>
      </c>
      <c r="C81" s="23">
        <v>0</v>
      </c>
      <c r="D81" s="23" t="s">
        <v>40</v>
      </c>
      <c r="E81" s="23">
        <v>60</v>
      </c>
      <c r="F81" s="23">
        <v>1</v>
      </c>
      <c r="G81" s="23">
        <v>1</v>
      </c>
      <c r="H81" s="23">
        <v>44.1</v>
      </c>
      <c r="I81" s="23">
        <f>ROUND($B$6-H81,1)</f>
        <v>205.9</v>
      </c>
      <c r="J81" s="23">
        <f t="shared" si="10"/>
        <v>30.1</v>
      </c>
      <c r="K81" s="23">
        <v>43.2</v>
      </c>
      <c r="L81" s="23">
        <f>ROUND($B$6-K81,1)</f>
        <v>206.8</v>
      </c>
      <c r="M81" s="23">
        <f t="shared" si="11"/>
        <v>29.5</v>
      </c>
      <c r="N81" s="23">
        <f t="shared" si="12"/>
        <v>29.8</v>
      </c>
      <c r="O81" s="23">
        <f t="shared" si="13"/>
        <v>0.4</v>
      </c>
      <c r="P81" s="23">
        <f t="shared" si="14"/>
        <v>1</v>
      </c>
      <c r="Q81" s="23"/>
      <c r="R81" s="23"/>
    </row>
    <row r="82" spans="1:18" x14ac:dyDescent="0.2">
      <c r="A82" s="23" t="s">
        <v>0</v>
      </c>
      <c r="B82" s="23">
        <v>30</v>
      </c>
      <c r="C82" s="23">
        <v>0</v>
      </c>
      <c r="D82" s="23" t="s">
        <v>40</v>
      </c>
      <c r="E82" s="23">
        <v>120</v>
      </c>
      <c r="F82" s="23">
        <v>2</v>
      </c>
      <c r="G82" s="23">
        <v>1</v>
      </c>
      <c r="H82" s="23">
        <v>40.700000000000003</v>
      </c>
      <c r="I82" s="23">
        <f>ROUND(I81-H82,1)</f>
        <v>165.2</v>
      </c>
      <c r="J82" s="23">
        <f t="shared" si="10"/>
        <v>27.8</v>
      </c>
      <c r="K82" s="23">
        <v>41.3</v>
      </c>
      <c r="L82" s="23">
        <f>ROUND(L81-K82,1)</f>
        <v>165.5</v>
      </c>
      <c r="M82" s="23">
        <f t="shared" si="11"/>
        <v>28.2</v>
      </c>
      <c r="N82" s="23">
        <f t="shared" si="12"/>
        <v>28</v>
      </c>
      <c r="O82" s="23">
        <f t="shared" si="13"/>
        <v>0.3</v>
      </c>
      <c r="P82" s="23">
        <f t="shared" si="14"/>
        <v>0.9</v>
      </c>
      <c r="Q82" s="23"/>
      <c r="R82" s="23"/>
    </row>
    <row r="83" spans="1:18" x14ac:dyDescent="0.2">
      <c r="A83" s="23" t="s">
        <v>0</v>
      </c>
      <c r="B83" s="23">
        <v>30</v>
      </c>
      <c r="C83" s="23">
        <v>0</v>
      </c>
      <c r="D83" s="23" t="s">
        <v>40</v>
      </c>
      <c r="E83" s="23">
        <v>180</v>
      </c>
      <c r="F83" s="23">
        <v>3</v>
      </c>
      <c r="G83" s="23">
        <v>1</v>
      </c>
      <c r="H83" s="23">
        <v>37.799999999999997</v>
      </c>
      <c r="I83" s="23">
        <f>ROUND(I82-H83,1)</f>
        <v>127.4</v>
      </c>
      <c r="J83" s="23">
        <f t="shared" si="10"/>
        <v>25.8</v>
      </c>
      <c r="K83" s="23">
        <v>37</v>
      </c>
      <c r="L83" s="23">
        <f>ROUND(L82-K83,1)</f>
        <v>128.5</v>
      </c>
      <c r="M83" s="23">
        <f t="shared" si="11"/>
        <v>25.3</v>
      </c>
      <c r="N83" s="23">
        <f t="shared" si="12"/>
        <v>25.6</v>
      </c>
      <c r="O83" s="23">
        <f t="shared" si="13"/>
        <v>0.4</v>
      </c>
      <c r="P83" s="23">
        <f t="shared" si="14"/>
        <v>0.9</v>
      </c>
      <c r="Q83" s="23"/>
      <c r="R83" s="23"/>
    </row>
    <row r="84" spans="1:18" x14ac:dyDescent="0.2">
      <c r="A84" s="23" t="s">
        <v>0</v>
      </c>
      <c r="B84" s="23">
        <v>30</v>
      </c>
      <c r="C84" s="23">
        <v>0</v>
      </c>
      <c r="D84" s="23" t="s">
        <v>40</v>
      </c>
      <c r="E84" s="23">
        <v>240</v>
      </c>
      <c r="F84" s="23">
        <v>4</v>
      </c>
      <c r="G84" s="23">
        <v>1</v>
      </c>
      <c r="H84" s="23">
        <v>35.6</v>
      </c>
      <c r="I84" s="23">
        <f>ROUND(I83-H84,1)</f>
        <v>91.8</v>
      </c>
      <c r="J84" s="23">
        <f t="shared" si="10"/>
        <v>24.3</v>
      </c>
      <c r="K84" s="23">
        <v>36.1</v>
      </c>
      <c r="L84" s="23">
        <f>ROUND(L83-K84,1)</f>
        <v>92.4</v>
      </c>
      <c r="M84" s="23">
        <f t="shared" si="11"/>
        <v>24.7</v>
      </c>
      <c r="N84" s="23">
        <f t="shared" si="12"/>
        <v>24.5</v>
      </c>
      <c r="O84" s="23">
        <f t="shared" si="13"/>
        <v>0.3</v>
      </c>
      <c r="P84" s="23">
        <f t="shared" si="14"/>
        <v>0.8</v>
      </c>
      <c r="Q84" s="23"/>
      <c r="R84" s="23"/>
    </row>
    <row r="85" spans="1:18" x14ac:dyDescent="0.2">
      <c r="A85" s="23" t="s">
        <v>0</v>
      </c>
      <c r="B85" s="23">
        <v>30</v>
      </c>
      <c r="C85" s="23">
        <v>0</v>
      </c>
      <c r="D85" s="23" t="s">
        <v>40</v>
      </c>
      <c r="E85" s="23">
        <v>300</v>
      </c>
      <c r="F85" s="23">
        <v>5</v>
      </c>
      <c r="G85" s="23">
        <v>1</v>
      </c>
      <c r="H85" s="23">
        <v>34.799999999999997</v>
      </c>
      <c r="I85" s="23">
        <f>ROUND(I84-H85,1)</f>
        <v>57</v>
      </c>
      <c r="J85" s="23">
        <f t="shared" si="10"/>
        <v>23.8</v>
      </c>
      <c r="K85" s="23">
        <v>33.799999999999997</v>
      </c>
      <c r="L85" s="23">
        <f>ROUND(L84-K85,1)</f>
        <v>58.6</v>
      </c>
      <c r="M85" s="23">
        <f t="shared" si="11"/>
        <v>23.1</v>
      </c>
      <c r="N85" s="23">
        <f t="shared" si="12"/>
        <v>23.5</v>
      </c>
      <c r="O85" s="23">
        <f t="shared" si="13"/>
        <v>0.5</v>
      </c>
      <c r="P85" s="23">
        <f t="shared" si="14"/>
        <v>0.8</v>
      </c>
      <c r="Q85" s="23"/>
      <c r="R85" s="23"/>
    </row>
    <row r="86" spans="1:18" x14ac:dyDescent="0.2">
      <c r="A86" s="25" t="s">
        <v>0</v>
      </c>
      <c r="B86" s="25">
        <v>30</v>
      </c>
      <c r="C86" s="25">
        <v>0</v>
      </c>
      <c r="D86" s="25" t="s">
        <v>55</v>
      </c>
      <c r="E86" s="25">
        <v>60</v>
      </c>
      <c r="F86" s="25">
        <v>1</v>
      </c>
      <c r="G86" s="25">
        <v>1</v>
      </c>
      <c r="H86" s="25">
        <v>47.1</v>
      </c>
      <c r="I86" s="25">
        <f>ROUND($B$6-H86,1)</f>
        <v>202.9</v>
      </c>
      <c r="J86" s="25">
        <f t="shared" si="10"/>
        <v>32.200000000000003</v>
      </c>
      <c r="K86" s="25">
        <v>47.6</v>
      </c>
      <c r="L86" s="25">
        <f>ROUND($B$6-K86,1)</f>
        <v>202.4</v>
      </c>
      <c r="M86" s="25">
        <f t="shared" si="11"/>
        <v>32.5</v>
      </c>
      <c r="N86" s="25">
        <f t="shared" si="12"/>
        <v>32.4</v>
      </c>
      <c r="O86" s="25">
        <f t="shared" si="13"/>
        <v>0.2</v>
      </c>
      <c r="P86" s="25">
        <f t="shared" si="14"/>
        <v>1.1000000000000001</v>
      </c>
      <c r="Q86" s="25">
        <f>ROUND(N86/N80*100,1)</f>
        <v>98.5</v>
      </c>
      <c r="R86" s="25">
        <f>ROUND(STDEV(J86/J80*100,M86/M80*100),1)</f>
        <v>0.4</v>
      </c>
    </row>
    <row r="87" spans="1:18" x14ac:dyDescent="0.2">
      <c r="A87" s="25" t="s">
        <v>0</v>
      </c>
      <c r="B87" s="25">
        <v>30</v>
      </c>
      <c r="C87" s="25">
        <v>0</v>
      </c>
      <c r="D87" s="25" t="s">
        <v>55</v>
      </c>
      <c r="E87" s="25">
        <v>120</v>
      </c>
      <c r="F87" s="25">
        <v>2</v>
      </c>
      <c r="G87" s="25">
        <v>1</v>
      </c>
      <c r="H87" s="25">
        <v>48.4</v>
      </c>
      <c r="I87" s="25">
        <f>ROUND(I86-H87,1)</f>
        <v>154.5</v>
      </c>
      <c r="J87" s="25">
        <f t="shared" si="10"/>
        <v>33.1</v>
      </c>
      <c r="K87" s="25">
        <v>47.8</v>
      </c>
      <c r="L87" s="25">
        <f>ROUND(L86-K87,1)</f>
        <v>154.6</v>
      </c>
      <c r="M87" s="25">
        <f t="shared" si="11"/>
        <v>32.700000000000003</v>
      </c>
      <c r="N87" s="25">
        <f t="shared" si="12"/>
        <v>32.9</v>
      </c>
      <c r="O87" s="25">
        <f t="shared" si="13"/>
        <v>0.3</v>
      </c>
      <c r="P87" s="25">
        <f t="shared" si="14"/>
        <v>1.1000000000000001</v>
      </c>
      <c r="Q87" s="25">
        <f>ROUND(N87/N80*100,1)</f>
        <v>100</v>
      </c>
      <c r="R87" s="25">
        <f>ROUND(STDEV(J87/J80*100,M87/M80*100),1)</f>
        <v>1.9</v>
      </c>
    </row>
    <row r="88" spans="1:18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</row>
  </sheetData>
  <mergeCells count="3">
    <mergeCell ref="A62:R62"/>
    <mergeCell ref="A8:R8"/>
    <mergeCell ref="A35:R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BA16-BE1C-B846-A613-9326FB409FB0}">
  <dimension ref="A1:R89"/>
  <sheetViews>
    <sheetView topLeftCell="B1" zoomScale="96" workbookViewId="0">
      <selection activeCell="H12" sqref="H12"/>
    </sheetView>
  </sheetViews>
  <sheetFormatPr baseColWidth="10" defaultColWidth="8.83203125" defaultRowHeight="16" x14ac:dyDescent="0.2"/>
  <cols>
    <col min="1" max="1" width="14" style="17" customWidth="1"/>
    <col min="2" max="2" width="13" style="17" customWidth="1"/>
    <col min="3" max="3" width="12" style="17" customWidth="1"/>
    <col min="4" max="4" width="23" style="17" customWidth="1"/>
    <col min="5" max="5" width="11" style="17" customWidth="1"/>
    <col min="6" max="6" width="8" style="17" customWidth="1"/>
    <col min="7" max="7" width="9" style="17" customWidth="1"/>
    <col min="8" max="8" width="19" style="17" customWidth="1"/>
    <col min="9" max="9" width="20" style="17" customWidth="1"/>
    <col min="10" max="10" width="15" style="17" customWidth="1"/>
    <col min="11" max="11" width="19" style="17" customWidth="1"/>
    <col min="12" max="12" width="20" style="17" customWidth="1"/>
    <col min="13" max="13" width="15" style="17" customWidth="1"/>
    <col min="14" max="14" width="16" style="17" customWidth="1"/>
    <col min="15" max="15" width="13" style="17" customWidth="1"/>
    <col min="16" max="16" width="19" style="17" customWidth="1"/>
    <col min="17" max="17" width="14" style="17" customWidth="1"/>
    <col min="18" max="18" width="16" style="17" customWidth="1"/>
    <col min="19" max="16384" width="8.83203125" style="17"/>
  </cols>
  <sheetData>
    <row r="1" spans="1:18" x14ac:dyDescent="0.2">
      <c r="A1" s="32" t="s">
        <v>17</v>
      </c>
      <c r="B1" s="32" t="s">
        <v>18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2">
      <c r="A2" s="19" t="s">
        <v>21</v>
      </c>
      <c r="B2" s="18">
        <v>1.464E-3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x14ac:dyDescent="0.2">
      <c r="A3" s="19" t="s">
        <v>49</v>
      </c>
      <c r="B3" s="19">
        <v>12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x14ac:dyDescent="0.2">
      <c r="A4" s="19" t="s">
        <v>50</v>
      </c>
      <c r="B4" s="19">
        <v>30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x14ac:dyDescent="0.2">
      <c r="A5" s="19" t="s">
        <v>51</v>
      </c>
      <c r="B5" s="19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 t="s">
        <v>22</v>
      </c>
      <c r="B6" s="19">
        <v>250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x14ac:dyDescent="0.2">
      <c r="A8" s="34" t="s">
        <v>58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</row>
    <row r="9" spans="1:18" ht="34" x14ac:dyDescent="0.2">
      <c r="A9" s="33" t="s">
        <v>19</v>
      </c>
      <c r="B9" s="33" t="s">
        <v>26</v>
      </c>
      <c r="C9" s="33" t="s">
        <v>53</v>
      </c>
      <c r="D9" s="33" t="s">
        <v>27</v>
      </c>
      <c r="E9" s="33" t="s">
        <v>28</v>
      </c>
      <c r="F9" s="33" t="s">
        <v>4</v>
      </c>
      <c r="G9" s="33" t="s">
        <v>29</v>
      </c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 t="s">
        <v>35</v>
      </c>
      <c r="N9" s="33" t="s">
        <v>36</v>
      </c>
      <c r="O9" s="33" t="s">
        <v>37</v>
      </c>
      <c r="P9" s="33" t="s">
        <v>38</v>
      </c>
      <c r="Q9" s="33" t="s">
        <v>54</v>
      </c>
      <c r="R9" s="33" t="s">
        <v>44</v>
      </c>
    </row>
    <row r="10" spans="1:18" x14ac:dyDescent="0.2">
      <c r="A10" s="21" t="s">
        <v>5</v>
      </c>
      <c r="B10" s="21">
        <v>12</v>
      </c>
      <c r="C10" s="21">
        <v>1</v>
      </c>
      <c r="D10" s="21" t="s">
        <v>39</v>
      </c>
      <c r="E10" s="21">
        <v>300</v>
      </c>
      <c r="F10" s="21">
        <v>5</v>
      </c>
      <c r="G10" s="21">
        <v>1</v>
      </c>
      <c r="H10" s="21">
        <v>47.9</v>
      </c>
      <c r="I10" s="21"/>
      <c r="J10" s="21">
        <f t="shared" ref="J10:J33" si="0">ROUND(H10/1000/$B$2/G10,1)</f>
        <v>32.700000000000003</v>
      </c>
      <c r="K10" s="21">
        <v>47.3</v>
      </c>
      <c r="L10" s="21"/>
      <c r="M10" s="21">
        <f t="shared" ref="M10:M33" si="1">ROUND(K10/1000/$B$2/G10,1)</f>
        <v>32.299999999999997</v>
      </c>
      <c r="N10" s="21">
        <f t="shared" ref="N10:N33" si="2">ROUND(AVERAGE(J10,M10),1)</f>
        <v>32.5</v>
      </c>
      <c r="O10" s="21">
        <f t="shared" ref="O10:O33" si="3">ROUND(STDEV(J10,M10),1)</f>
        <v>0.3</v>
      </c>
      <c r="P10" s="21">
        <f t="shared" ref="P10:P33" si="4">ROUND(N10/B10,1)</f>
        <v>2.7</v>
      </c>
      <c r="Q10" s="21"/>
      <c r="R10" s="21"/>
    </row>
    <row r="11" spans="1:18" x14ac:dyDescent="0.2">
      <c r="A11" s="23" t="s">
        <v>5</v>
      </c>
      <c r="B11" s="23">
        <v>12</v>
      </c>
      <c r="C11" s="23">
        <v>1</v>
      </c>
      <c r="D11" s="23" t="s">
        <v>40</v>
      </c>
      <c r="E11" s="23">
        <v>60</v>
      </c>
      <c r="F11" s="23">
        <v>1</v>
      </c>
      <c r="G11" s="23">
        <v>1</v>
      </c>
      <c r="H11" s="23">
        <v>43</v>
      </c>
      <c r="I11" s="23">
        <f>ROUND($B$6-H11,1)</f>
        <v>207</v>
      </c>
      <c r="J11" s="23">
        <f t="shared" si="0"/>
        <v>29.4</v>
      </c>
      <c r="K11" s="23">
        <v>43.7</v>
      </c>
      <c r="L11" s="23">
        <f>ROUND($B$6-K11,1)</f>
        <v>206.3</v>
      </c>
      <c r="M11" s="23">
        <f t="shared" si="1"/>
        <v>29.8</v>
      </c>
      <c r="N11" s="23">
        <f t="shared" si="2"/>
        <v>29.6</v>
      </c>
      <c r="O11" s="23">
        <f t="shared" si="3"/>
        <v>0.3</v>
      </c>
      <c r="P11" s="23">
        <f t="shared" si="4"/>
        <v>2.5</v>
      </c>
      <c r="Q11" s="23"/>
      <c r="R11" s="23"/>
    </row>
    <row r="12" spans="1:18" x14ac:dyDescent="0.2">
      <c r="A12" s="23" t="s">
        <v>5</v>
      </c>
      <c r="B12" s="23">
        <v>12</v>
      </c>
      <c r="C12" s="23">
        <v>1</v>
      </c>
      <c r="D12" s="23" t="s">
        <v>40</v>
      </c>
      <c r="E12" s="23">
        <v>120</v>
      </c>
      <c r="F12" s="23">
        <v>2</v>
      </c>
      <c r="G12" s="23">
        <v>1</v>
      </c>
      <c r="H12" s="23">
        <v>36.299999999999997</v>
      </c>
      <c r="I12" s="23">
        <f>ROUND(I11-H12,1)</f>
        <v>170.7</v>
      </c>
      <c r="J12" s="23">
        <f t="shared" si="0"/>
        <v>24.8</v>
      </c>
      <c r="K12" s="23">
        <v>35.5</v>
      </c>
      <c r="L12" s="23">
        <f>ROUND(L11-K12,1)</f>
        <v>170.8</v>
      </c>
      <c r="M12" s="23">
        <f t="shared" si="1"/>
        <v>24.2</v>
      </c>
      <c r="N12" s="23">
        <f t="shared" si="2"/>
        <v>24.5</v>
      </c>
      <c r="O12" s="23">
        <f t="shared" si="3"/>
        <v>0.4</v>
      </c>
      <c r="P12" s="23">
        <f t="shared" si="4"/>
        <v>2</v>
      </c>
      <c r="Q12" s="23"/>
      <c r="R12" s="23"/>
    </row>
    <row r="13" spans="1:18" x14ac:dyDescent="0.2">
      <c r="A13" s="23" t="s">
        <v>5</v>
      </c>
      <c r="B13" s="23">
        <v>12</v>
      </c>
      <c r="C13" s="23">
        <v>1</v>
      </c>
      <c r="D13" s="23" t="s">
        <v>40</v>
      </c>
      <c r="E13" s="23">
        <v>180</v>
      </c>
      <c r="F13" s="23">
        <v>3</v>
      </c>
      <c r="G13" s="23">
        <v>1</v>
      </c>
      <c r="H13" s="23">
        <v>31.6</v>
      </c>
      <c r="I13" s="23">
        <f>ROUND(I12-H13,1)</f>
        <v>139.1</v>
      </c>
      <c r="J13" s="23">
        <f t="shared" si="0"/>
        <v>21.6</v>
      </c>
      <c r="K13" s="23">
        <v>32.6</v>
      </c>
      <c r="L13" s="23">
        <f>ROUND(L12-K13,1)</f>
        <v>138.19999999999999</v>
      </c>
      <c r="M13" s="23">
        <f t="shared" si="1"/>
        <v>22.3</v>
      </c>
      <c r="N13" s="23">
        <f t="shared" si="2"/>
        <v>22</v>
      </c>
      <c r="O13" s="23">
        <f t="shared" si="3"/>
        <v>0.5</v>
      </c>
      <c r="P13" s="23">
        <f t="shared" si="4"/>
        <v>1.8</v>
      </c>
      <c r="Q13" s="23"/>
      <c r="R13" s="23"/>
    </row>
    <row r="14" spans="1:18" x14ac:dyDescent="0.2">
      <c r="A14" s="23" t="s">
        <v>5</v>
      </c>
      <c r="B14" s="23">
        <v>12</v>
      </c>
      <c r="C14" s="23">
        <v>1</v>
      </c>
      <c r="D14" s="23" t="s">
        <v>40</v>
      </c>
      <c r="E14" s="23">
        <v>240</v>
      </c>
      <c r="F14" s="23">
        <v>4</v>
      </c>
      <c r="G14" s="23">
        <v>1</v>
      </c>
      <c r="H14" s="23">
        <v>24.1</v>
      </c>
      <c r="I14" s="23">
        <f>ROUND(I13-H14,1)</f>
        <v>115</v>
      </c>
      <c r="J14" s="23">
        <f t="shared" si="0"/>
        <v>16.5</v>
      </c>
      <c r="K14" s="23">
        <v>23.5</v>
      </c>
      <c r="L14" s="23">
        <f>ROUND(L13-K14,1)</f>
        <v>114.7</v>
      </c>
      <c r="M14" s="23">
        <f t="shared" si="1"/>
        <v>16.100000000000001</v>
      </c>
      <c r="N14" s="23">
        <f t="shared" si="2"/>
        <v>16.3</v>
      </c>
      <c r="O14" s="23">
        <f t="shared" si="3"/>
        <v>0.3</v>
      </c>
      <c r="P14" s="23">
        <f t="shared" si="4"/>
        <v>1.4</v>
      </c>
      <c r="Q14" s="23"/>
      <c r="R14" s="23"/>
    </row>
    <row r="15" spans="1:18" x14ac:dyDescent="0.2">
      <c r="A15" s="23" t="s">
        <v>5</v>
      </c>
      <c r="B15" s="23">
        <v>12</v>
      </c>
      <c r="C15" s="23">
        <v>1</v>
      </c>
      <c r="D15" s="23" t="s">
        <v>40</v>
      </c>
      <c r="E15" s="23">
        <v>300</v>
      </c>
      <c r="F15" s="23">
        <v>5</v>
      </c>
      <c r="G15" s="23">
        <v>1</v>
      </c>
      <c r="H15" s="23">
        <v>20.5</v>
      </c>
      <c r="I15" s="23">
        <f>ROUND(I14-H15,1)</f>
        <v>94.5</v>
      </c>
      <c r="J15" s="23">
        <f t="shared" si="0"/>
        <v>14</v>
      </c>
      <c r="K15" s="23">
        <v>21.2</v>
      </c>
      <c r="L15" s="23">
        <f>ROUND(L14-K15,1)</f>
        <v>93.5</v>
      </c>
      <c r="M15" s="23">
        <f t="shared" si="1"/>
        <v>14.5</v>
      </c>
      <c r="N15" s="23">
        <f t="shared" si="2"/>
        <v>14.3</v>
      </c>
      <c r="O15" s="23">
        <f t="shared" si="3"/>
        <v>0.4</v>
      </c>
      <c r="P15" s="23">
        <f t="shared" si="4"/>
        <v>1.2</v>
      </c>
      <c r="Q15" s="23"/>
      <c r="R15" s="23"/>
    </row>
    <row r="16" spans="1:18" x14ac:dyDescent="0.2">
      <c r="A16" s="25" t="s">
        <v>5</v>
      </c>
      <c r="B16" s="25">
        <v>12</v>
      </c>
      <c r="C16" s="25">
        <v>1</v>
      </c>
      <c r="D16" s="25" t="s">
        <v>55</v>
      </c>
      <c r="E16" s="25">
        <v>60</v>
      </c>
      <c r="F16" s="25">
        <v>1</v>
      </c>
      <c r="G16" s="25">
        <v>1</v>
      </c>
      <c r="H16" s="25">
        <v>18.600000000000001</v>
      </c>
      <c r="I16" s="25">
        <f>ROUND($B$6-H16,1)</f>
        <v>231.4</v>
      </c>
      <c r="J16" s="25">
        <f t="shared" si="0"/>
        <v>12.7</v>
      </c>
      <c r="K16" s="25">
        <v>18.100000000000001</v>
      </c>
      <c r="L16" s="25">
        <f>ROUND($B$6-K16,1)</f>
        <v>231.9</v>
      </c>
      <c r="M16" s="25">
        <f t="shared" si="1"/>
        <v>12.4</v>
      </c>
      <c r="N16" s="25">
        <f t="shared" si="2"/>
        <v>12.6</v>
      </c>
      <c r="O16" s="25">
        <f t="shared" si="3"/>
        <v>0.2</v>
      </c>
      <c r="P16" s="25">
        <f t="shared" si="4"/>
        <v>1.1000000000000001</v>
      </c>
      <c r="Q16" s="25">
        <f>ROUND(N16/N10*100,1)</f>
        <v>38.799999999999997</v>
      </c>
      <c r="R16" s="25">
        <f>ROUND(STDEV(J16/J10*100,M16/M10*100),1)</f>
        <v>0.3</v>
      </c>
    </row>
    <row r="17" spans="1:18" x14ac:dyDescent="0.2">
      <c r="A17" s="25" t="s">
        <v>5</v>
      </c>
      <c r="B17" s="25">
        <v>12</v>
      </c>
      <c r="C17" s="25">
        <v>1</v>
      </c>
      <c r="D17" s="25" t="s">
        <v>55</v>
      </c>
      <c r="E17" s="25">
        <v>120</v>
      </c>
      <c r="F17" s="25">
        <v>2</v>
      </c>
      <c r="G17" s="25">
        <v>1</v>
      </c>
      <c r="H17" s="25">
        <v>18.5</v>
      </c>
      <c r="I17" s="25">
        <f>ROUND(I16-H17,1)</f>
        <v>212.9</v>
      </c>
      <c r="J17" s="25">
        <f t="shared" si="0"/>
        <v>12.6</v>
      </c>
      <c r="K17" s="25">
        <v>19.600000000000001</v>
      </c>
      <c r="L17" s="25">
        <f>ROUND(L16-K17,1)</f>
        <v>212.3</v>
      </c>
      <c r="M17" s="25">
        <f t="shared" si="1"/>
        <v>13.4</v>
      </c>
      <c r="N17" s="25">
        <f t="shared" si="2"/>
        <v>13</v>
      </c>
      <c r="O17" s="25">
        <f t="shared" si="3"/>
        <v>0.6</v>
      </c>
      <c r="P17" s="25">
        <f t="shared" si="4"/>
        <v>1.1000000000000001</v>
      </c>
      <c r="Q17" s="25">
        <f>ROUND(N17/N10*100,1)</f>
        <v>40</v>
      </c>
      <c r="R17" s="25">
        <f>ROUND(STDEV(J17/J10*100,M17/M10*100),1)</f>
        <v>2.1</v>
      </c>
    </row>
    <row r="18" spans="1:18" x14ac:dyDescent="0.2">
      <c r="A18" s="21" t="s">
        <v>1</v>
      </c>
      <c r="B18" s="21">
        <v>30</v>
      </c>
      <c r="C18" s="21">
        <v>1</v>
      </c>
      <c r="D18" s="21" t="s">
        <v>39</v>
      </c>
      <c r="E18" s="21">
        <v>300</v>
      </c>
      <c r="F18" s="21">
        <v>5</v>
      </c>
      <c r="G18" s="21">
        <v>1</v>
      </c>
      <c r="H18" s="21">
        <v>48</v>
      </c>
      <c r="I18" s="21"/>
      <c r="J18" s="21">
        <f t="shared" si="0"/>
        <v>32.799999999999997</v>
      </c>
      <c r="K18" s="21">
        <v>47.5</v>
      </c>
      <c r="L18" s="21"/>
      <c r="M18" s="21">
        <f t="shared" si="1"/>
        <v>32.4</v>
      </c>
      <c r="N18" s="21">
        <f t="shared" si="2"/>
        <v>32.6</v>
      </c>
      <c r="O18" s="21">
        <f t="shared" si="3"/>
        <v>0.3</v>
      </c>
      <c r="P18" s="21">
        <f t="shared" si="4"/>
        <v>1.1000000000000001</v>
      </c>
      <c r="Q18" s="21"/>
      <c r="R18" s="21"/>
    </row>
    <row r="19" spans="1:18" x14ac:dyDescent="0.2">
      <c r="A19" s="23" t="s">
        <v>1</v>
      </c>
      <c r="B19" s="23">
        <v>30</v>
      </c>
      <c r="C19" s="23">
        <v>1</v>
      </c>
      <c r="D19" s="23" t="s">
        <v>40</v>
      </c>
      <c r="E19" s="23">
        <v>60</v>
      </c>
      <c r="F19" s="23">
        <v>1</v>
      </c>
      <c r="G19" s="23">
        <v>1</v>
      </c>
      <c r="H19" s="23">
        <v>42.6</v>
      </c>
      <c r="I19" s="23">
        <f>ROUND($B$6-H19,1)</f>
        <v>207.4</v>
      </c>
      <c r="J19" s="23">
        <f t="shared" si="0"/>
        <v>29.1</v>
      </c>
      <c r="K19" s="23">
        <v>43.2</v>
      </c>
      <c r="L19" s="23">
        <f>ROUND($B$6-K19,1)</f>
        <v>206.8</v>
      </c>
      <c r="M19" s="23">
        <f t="shared" si="1"/>
        <v>29.5</v>
      </c>
      <c r="N19" s="23">
        <f t="shared" si="2"/>
        <v>29.3</v>
      </c>
      <c r="O19" s="23">
        <f t="shared" si="3"/>
        <v>0.3</v>
      </c>
      <c r="P19" s="23">
        <f t="shared" si="4"/>
        <v>1</v>
      </c>
      <c r="Q19" s="23"/>
      <c r="R19" s="23"/>
    </row>
    <row r="20" spans="1:18" x14ac:dyDescent="0.2">
      <c r="A20" s="23" t="s">
        <v>1</v>
      </c>
      <c r="B20" s="23">
        <v>30</v>
      </c>
      <c r="C20" s="23">
        <v>1</v>
      </c>
      <c r="D20" s="23" t="s">
        <v>40</v>
      </c>
      <c r="E20" s="23">
        <v>120</v>
      </c>
      <c r="F20" s="23">
        <v>2</v>
      </c>
      <c r="G20" s="23">
        <v>1</v>
      </c>
      <c r="H20" s="23">
        <v>38.1</v>
      </c>
      <c r="I20" s="23">
        <f>ROUND(I19-H20,1)</f>
        <v>169.3</v>
      </c>
      <c r="J20" s="23">
        <f t="shared" si="0"/>
        <v>26</v>
      </c>
      <c r="K20" s="23">
        <v>37.4</v>
      </c>
      <c r="L20" s="23">
        <f>ROUND(L19-K20,1)</f>
        <v>169.4</v>
      </c>
      <c r="M20" s="23">
        <f t="shared" si="1"/>
        <v>25.5</v>
      </c>
      <c r="N20" s="23">
        <f t="shared" si="2"/>
        <v>25.8</v>
      </c>
      <c r="O20" s="23">
        <f t="shared" si="3"/>
        <v>0.4</v>
      </c>
      <c r="P20" s="23">
        <f t="shared" si="4"/>
        <v>0.9</v>
      </c>
      <c r="Q20" s="23"/>
      <c r="R20" s="23"/>
    </row>
    <row r="21" spans="1:18" x14ac:dyDescent="0.2">
      <c r="A21" s="23" t="s">
        <v>1</v>
      </c>
      <c r="B21" s="23">
        <v>30</v>
      </c>
      <c r="C21" s="23">
        <v>1</v>
      </c>
      <c r="D21" s="23" t="s">
        <v>40</v>
      </c>
      <c r="E21" s="23">
        <v>180</v>
      </c>
      <c r="F21" s="23">
        <v>3</v>
      </c>
      <c r="G21" s="23">
        <v>1</v>
      </c>
      <c r="H21" s="23">
        <v>34.6</v>
      </c>
      <c r="I21" s="23">
        <f>ROUND(I20-H21,1)</f>
        <v>134.69999999999999</v>
      </c>
      <c r="J21" s="23">
        <f t="shared" si="0"/>
        <v>23.6</v>
      </c>
      <c r="K21" s="23">
        <v>35.4</v>
      </c>
      <c r="L21" s="23">
        <f>ROUND(L20-K21,1)</f>
        <v>134</v>
      </c>
      <c r="M21" s="23">
        <f t="shared" si="1"/>
        <v>24.2</v>
      </c>
      <c r="N21" s="23">
        <f t="shared" si="2"/>
        <v>23.9</v>
      </c>
      <c r="O21" s="23">
        <f t="shared" si="3"/>
        <v>0.4</v>
      </c>
      <c r="P21" s="23">
        <f t="shared" si="4"/>
        <v>0.8</v>
      </c>
      <c r="Q21" s="23"/>
      <c r="R21" s="23"/>
    </row>
    <row r="22" spans="1:18" x14ac:dyDescent="0.2">
      <c r="A22" s="23" t="s">
        <v>1</v>
      </c>
      <c r="B22" s="23">
        <v>30</v>
      </c>
      <c r="C22" s="23">
        <v>1</v>
      </c>
      <c r="D22" s="23" t="s">
        <v>40</v>
      </c>
      <c r="E22" s="23">
        <v>240</v>
      </c>
      <c r="F22" s="23">
        <v>4</v>
      </c>
      <c r="G22" s="23">
        <v>1</v>
      </c>
      <c r="H22" s="23">
        <v>30</v>
      </c>
      <c r="I22" s="23">
        <f>ROUND(I21-H22,1)</f>
        <v>104.7</v>
      </c>
      <c r="J22" s="23">
        <f t="shared" si="0"/>
        <v>20.5</v>
      </c>
      <c r="K22" s="23">
        <v>29.1</v>
      </c>
      <c r="L22" s="23">
        <f>ROUND(L21-K22,1)</f>
        <v>104.9</v>
      </c>
      <c r="M22" s="23">
        <f t="shared" si="1"/>
        <v>19.899999999999999</v>
      </c>
      <c r="N22" s="23">
        <f t="shared" si="2"/>
        <v>20.2</v>
      </c>
      <c r="O22" s="23">
        <f t="shared" si="3"/>
        <v>0.4</v>
      </c>
      <c r="P22" s="23">
        <f t="shared" si="4"/>
        <v>0.7</v>
      </c>
      <c r="Q22" s="23"/>
      <c r="R22" s="23"/>
    </row>
    <row r="23" spans="1:18" x14ac:dyDescent="0.2">
      <c r="A23" s="23" t="s">
        <v>1</v>
      </c>
      <c r="B23" s="23">
        <v>30</v>
      </c>
      <c r="C23" s="23">
        <v>1</v>
      </c>
      <c r="D23" s="23" t="s">
        <v>40</v>
      </c>
      <c r="E23" s="23">
        <v>300</v>
      </c>
      <c r="F23" s="23">
        <v>5</v>
      </c>
      <c r="G23" s="23">
        <v>1</v>
      </c>
      <c r="H23" s="23">
        <v>26.5</v>
      </c>
      <c r="I23" s="23">
        <f>ROUND(I22-H23,1)</f>
        <v>78.2</v>
      </c>
      <c r="J23" s="23">
        <f t="shared" si="0"/>
        <v>18.100000000000001</v>
      </c>
      <c r="K23" s="23">
        <v>27.1</v>
      </c>
      <c r="L23" s="23">
        <f>ROUND(L22-K23,1)</f>
        <v>77.8</v>
      </c>
      <c r="M23" s="23">
        <f t="shared" si="1"/>
        <v>18.5</v>
      </c>
      <c r="N23" s="23">
        <f t="shared" si="2"/>
        <v>18.3</v>
      </c>
      <c r="O23" s="23">
        <f t="shared" si="3"/>
        <v>0.3</v>
      </c>
      <c r="P23" s="23">
        <f t="shared" si="4"/>
        <v>0.6</v>
      </c>
      <c r="Q23" s="23"/>
      <c r="R23" s="23"/>
    </row>
    <row r="24" spans="1:18" x14ac:dyDescent="0.2">
      <c r="A24" s="25" t="s">
        <v>1</v>
      </c>
      <c r="B24" s="25">
        <v>30</v>
      </c>
      <c r="C24" s="25">
        <v>1</v>
      </c>
      <c r="D24" s="25" t="s">
        <v>55</v>
      </c>
      <c r="E24" s="25">
        <v>60</v>
      </c>
      <c r="F24" s="25">
        <v>1</v>
      </c>
      <c r="G24" s="25">
        <v>1</v>
      </c>
      <c r="H24" s="25">
        <v>34.9</v>
      </c>
      <c r="I24" s="25">
        <f>ROUND($B$6-H24,1)</f>
        <v>215.1</v>
      </c>
      <c r="J24" s="25">
        <f t="shared" si="0"/>
        <v>23.8</v>
      </c>
      <c r="K24" s="25">
        <v>34.200000000000003</v>
      </c>
      <c r="L24" s="25">
        <f>ROUND($B$6-K24,1)</f>
        <v>215.8</v>
      </c>
      <c r="M24" s="25">
        <f t="shared" si="1"/>
        <v>23.4</v>
      </c>
      <c r="N24" s="25">
        <f t="shared" si="2"/>
        <v>23.6</v>
      </c>
      <c r="O24" s="25">
        <f t="shared" si="3"/>
        <v>0.3</v>
      </c>
      <c r="P24" s="25">
        <f t="shared" si="4"/>
        <v>0.8</v>
      </c>
      <c r="Q24" s="25">
        <f>ROUND(N24/N18*100,1)</f>
        <v>72.400000000000006</v>
      </c>
      <c r="R24" s="25">
        <f>ROUND(STDEV(J24/J18*100,M24/M18*100),1)</f>
        <v>0.2</v>
      </c>
    </row>
    <row r="25" spans="1:18" x14ac:dyDescent="0.2">
      <c r="A25" s="25" t="s">
        <v>1</v>
      </c>
      <c r="B25" s="25">
        <v>30</v>
      </c>
      <c r="C25" s="25">
        <v>1</v>
      </c>
      <c r="D25" s="25" t="s">
        <v>55</v>
      </c>
      <c r="E25" s="25">
        <v>120</v>
      </c>
      <c r="F25" s="25">
        <v>2</v>
      </c>
      <c r="G25" s="25">
        <v>1</v>
      </c>
      <c r="H25" s="25">
        <v>35.6</v>
      </c>
      <c r="I25" s="25">
        <f>ROUND(I24-H25,1)</f>
        <v>179.5</v>
      </c>
      <c r="J25" s="25">
        <f t="shared" si="0"/>
        <v>24.3</v>
      </c>
      <c r="K25" s="25">
        <v>36.1</v>
      </c>
      <c r="L25" s="25">
        <f>ROUND(L24-K25,1)</f>
        <v>179.7</v>
      </c>
      <c r="M25" s="25">
        <f t="shared" si="1"/>
        <v>24.7</v>
      </c>
      <c r="N25" s="25">
        <f t="shared" si="2"/>
        <v>24.5</v>
      </c>
      <c r="O25" s="25">
        <f t="shared" si="3"/>
        <v>0.3</v>
      </c>
      <c r="P25" s="25">
        <f t="shared" si="4"/>
        <v>0.8</v>
      </c>
      <c r="Q25" s="25">
        <f>ROUND(N25/N18*100,1)</f>
        <v>75.2</v>
      </c>
      <c r="R25" s="25">
        <f>ROUND(STDEV(J25/J18*100,M25/M18*100),1)</f>
        <v>1.5</v>
      </c>
    </row>
    <row r="26" spans="1:18" x14ac:dyDescent="0.2">
      <c r="A26" s="21" t="s">
        <v>0</v>
      </c>
      <c r="B26" s="21">
        <v>30</v>
      </c>
      <c r="C26" s="21">
        <v>1</v>
      </c>
      <c r="D26" s="21" t="s">
        <v>39</v>
      </c>
      <c r="E26" s="21">
        <v>300</v>
      </c>
      <c r="F26" s="21">
        <v>5</v>
      </c>
      <c r="G26" s="21">
        <v>1</v>
      </c>
      <c r="H26" s="21">
        <v>48.4</v>
      </c>
      <c r="I26" s="21"/>
      <c r="J26" s="21">
        <f t="shared" si="0"/>
        <v>33.1</v>
      </c>
      <c r="K26" s="21">
        <v>47.4</v>
      </c>
      <c r="L26" s="21"/>
      <c r="M26" s="21">
        <f t="shared" si="1"/>
        <v>32.4</v>
      </c>
      <c r="N26" s="21">
        <f t="shared" si="2"/>
        <v>32.799999999999997</v>
      </c>
      <c r="O26" s="21">
        <f t="shared" si="3"/>
        <v>0.5</v>
      </c>
      <c r="P26" s="21">
        <f t="shared" si="4"/>
        <v>1.1000000000000001</v>
      </c>
      <c r="Q26" s="21"/>
      <c r="R26" s="21"/>
    </row>
    <row r="27" spans="1:18" x14ac:dyDescent="0.2">
      <c r="A27" s="23" t="s">
        <v>0</v>
      </c>
      <c r="B27" s="23">
        <v>30</v>
      </c>
      <c r="C27" s="23">
        <v>1</v>
      </c>
      <c r="D27" s="23" t="s">
        <v>40</v>
      </c>
      <c r="E27" s="23">
        <v>60</v>
      </c>
      <c r="F27" s="23">
        <v>1</v>
      </c>
      <c r="G27" s="23">
        <v>1</v>
      </c>
      <c r="H27" s="23">
        <v>43.4</v>
      </c>
      <c r="I27" s="23">
        <f>ROUND($B$6-H27,1)</f>
        <v>206.6</v>
      </c>
      <c r="J27" s="23">
        <f t="shared" si="0"/>
        <v>29.6</v>
      </c>
      <c r="K27" s="23">
        <v>43.9</v>
      </c>
      <c r="L27" s="23">
        <f>ROUND($B$6-K27,1)</f>
        <v>206.1</v>
      </c>
      <c r="M27" s="23">
        <f t="shared" si="1"/>
        <v>30</v>
      </c>
      <c r="N27" s="23">
        <f t="shared" si="2"/>
        <v>29.8</v>
      </c>
      <c r="O27" s="23">
        <f t="shared" si="3"/>
        <v>0.3</v>
      </c>
      <c r="P27" s="23">
        <f t="shared" si="4"/>
        <v>1</v>
      </c>
      <c r="Q27" s="23"/>
      <c r="R27" s="23"/>
    </row>
    <row r="28" spans="1:18" x14ac:dyDescent="0.2">
      <c r="A28" s="23" t="s">
        <v>0</v>
      </c>
      <c r="B28" s="23">
        <v>30</v>
      </c>
      <c r="C28" s="23">
        <v>1</v>
      </c>
      <c r="D28" s="23" t="s">
        <v>40</v>
      </c>
      <c r="E28" s="23">
        <v>120</v>
      </c>
      <c r="F28" s="23">
        <v>2</v>
      </c>
      <c r="G28" s="23">
        <v>1</v>
      </c>
      <c r="H28" s="23">
        <v>40.5</v>
      </c>
      <c r="I28" s="23">
        <f>ROUND(I27-H28,1)</f>
        <v>166.1</v>
      </c>
      <c r="J28" s="23">
        <f t="shared" si="0"/>
        <v>27.7</v>
      </c>
      <c r="K28" s="23">
        <v>39.9</v>
      </c>
      <c r="L28" s="23">
        <f>ROUND(L27-K28,1)</f>
        <v>166.2</v>
      </c>
      <c r="M28" s="23">
        <f t="shared" si="1"/>
        <v>27.3</v>
      </c>
      <c r="N28" s="23">
        <f t="shared" si="2"/>
        <v>27.5</v>
      </c>
      <c r="O28" s="23">
        <f t="shared" si="3"/>
        <v>0.3</v>
      </c>
      <c r="P28" s="23">
        <f t="shared" si="4"/>
        <v>0.9</v>
      </c>
      <c r="Q28" s="23"/>
      <c r="R28" s="23"/>
    </row>
    <row r="29" spans="1:18" x14ac:dyDescent="0.2">
      <c r="A29" s="23" t="s">
        <v>0</v>
      </c>
      <c r="B29" s="23">
        <v>30</v>
      </c>
      <c r="C29" s="23">
        <v>1</v>
      </c>
      <c r="D29" s="23" t="s">
        <v>40</v>
      </c>
      <c r="E29" s="23">
        <v>180</v>
      </c>
      <c r="F29" s="23">
        <v>3</v>
      </c>
      <c r="G29" s="23">
        <v>1</v>
      </c>
      <c r="H29" s="23">
        <v>35.1</v>
      </c>
      <c r="I29" s="23">
        <f>ROUND(I28-H29,1)</f>
        <v>131</v>
      </c>
      <c r="J29" s="23">
        <f t="shared" si="0"/>
        <v>24</v>
      </c>
      <c r="K29" s="23">
        <v>35.799999999999997</v>
      </c>
      <c r="L29" s="23">
        <f>ROUND(L28-K29,1)</f>
        <v>130.4</v>
      </c>
      <c r="M29" s="23">
        <f t="shared" si="1"/>
        <v>24.5</v>
      </c>
      <c r="N29" s="23">
        <f t="shared" si="2"/>
        <v>24.3</v>
      </c>
      <c r="O29" s="23">
        <f t="shared" si="3"/>
        <v>0.4</v>
      </c>
      <c r="P29" s="23">
        <f t="shared" si="4"/>
        <v>0.8</v>
      </c>
      <c r="Q29" s="23"/>
      <c r="R29" s="23"/>
    </row>
    <row r="30" spans="1:18" x14ac:dyDescent="0.2">
      <c r="A30" s="23" t="s">
        <v>0</v>
      </c>
      <c r="B30" s="23">
        <v>30</v>
      </c>
      <c r="C30" s="23">
        <v>1</v>
      </c>
      <c r="D30" s="23" t="s">
        <v>40</v>
      </c>
      <c r="E30" s="23">
        <v>240</v>
      </c>
      <c r="F30" s="23">
        <v>4</v>
      </c>
      <c r="G30" s="23">
        <v>1</v>
      </c>
      <c r="H30" s="23">
        <v>33.799999999999997</v>
      </c>
      <c r="I30" s="23">
        <f>ROUND(I29-H30,1)</f>
        <v>97.2</v>
      </c>
      <c r="J30" s="23">
        <f t="shared" si="0"/>
        <v>23.1</v>
      </c>
      <c r="K30" s="23">
        <v>33</v>
      </c>
      <c r="L30" s="23">
        <f>ROUND(L29-K30,1)</f>
        <v>97.4</v>
      </c>
      <c r="M30" s="23">
        <f t="shared" si="1"/>
        <v>22.5</v>
      </c>
      <c r="N30" s="23">
        <f t="shared" si="2"/>
        <v>22.8</v>
      </c>
      <c r="O30" s="23">
        <f t="shared" si="3"/>
        <v>0.4</v>
      </c>
      <c r="P30" s="23">
        <f t="shared" si="4"/>
        <v>0.8</v>
      </c>
      <c r="Q30" s="23"/>
      <c r="R30" s="23"/>
    </row>
    <row r="31" spans="1:18" x14ac:dyDescent="0.2">
      <c r="A31" s="23" t="s">
        <v>0</v>
      </c>
      <c r="B31" s="23">
        <v>30</v>
      </c>
      <c r="C31" s="23">
        <v>1</v>
      </c>
      <c r="D31" s="23" t="s">
        <v>40</v>
      </c>
      <c r="E31" s="23">
        <v>300</v>
      </c>
      <c r="F31" s="23">
        <v>5</v>
      </c>
      <c r="G31" s="23">
        <v>1</v>
      </c>
      <c r="H31" s="23">
        <v>31</v>
      </c>
      <c r="I31" s="23">
        <f>ROUND(I30-H31,1)</f>
        <v>66.2</v>
      </c>
      <c r="J31" s="23">
        <f t="shared" si="0"/>
        <v>21.2</v>
      </c>
      <c r="K31" s="23">
        <v>32</v>
      </c>
      <c r="L31" s="23">
        <f>ROUND(L30-K31,1)</f>
        <v>65.400000000000006</v>
      </c>
      <c r="M31" s="23">
        <f t="shared" si="1"/>
        <v>21.9</v>
      </c>
      <c r="N31" s="23">
        <f t="shared" si="2"/>
        <v>21.6</v>
      </c>
      <c r="O31" s="23">
        <f t="shared" si="3"/>
        <v>0.5</v>
      </c>
      <c r="P31" s="23">
        <f t="shared" si="4"/>
        <v>0.7</v>
      </c>
      <c r="Q31" s="23"/>
      <c r="R31" s="23"/>
    </row>
    <row r="32" spans="1:18" x14ac:dyDescent="0.2">
      <c r="A32" s="25" t="s">
        <v>0</v>
      </c>
      <c r="B32" s="25">
        <v>30</v>
      </c>
      <c r="C32" s="25">
        <v>1</v>
      </c>
      <c r="D32" s="25" t="s">
        <v>55</v>
      </c>
      <c r="E32" s="25">
        <v>60</v>
      </c>
      <c r="F32" s="25">
        <v>1</v>
      </c>
      <c r="G32" s="25">
        <v>1</v>
      </c>
      <c r="H32" s="25">
        <v>39.200000000000003</v>
      </c>
      <c r="I32" s="25">
        <f>ROUND($B$6-H32,1)</f>
        <v>210.8</v>
      </c>
      <c r="J32" s="25">
        <f t="shared" si="0"/>
        <v>26.8</v>
      </c>
      <c r="K32" s="25">
        <v>38.5</v>
      </c>
      <c r="L32" s="25">
        <f>ROUND($B$6-K32,1)</f>
        <v>211.5</v>
      </c>
      <c r="M32" s="25">
        <f t="shared" si="1"/>
        <v>26.3</v>
      </c>
      <c r="N32" s="25">
        <f t="shared" si="2"/>
        <v>26.6</v>
      </c>
      <c r="O32" s="25">
        <f t="shared" si="3"/>
        <v>0.4</v>
      </c>
      <c r="P32" s="25">
        <f t="shared" si="4"/>
        <v>0.9</v>
      </c>
      <c r="Q32" s="25">
        <f>ROUND(N32/N26*100,1)</f>
        <v>81.099999999999994</v>
      </c>
      <c r="R32" s="25">
        <f>ROUND(STDEV(J32/J26*100,M32/M26*100),1)</f>
        <v>0.1</v>
      </c>
    </row>
    <row r="33" spans="1:18" x14ac:dyDescent="0.2">
      <c r="A33" s="25" t="s">
        <v>0</v>
      </c>
      <c r="B33" s="25">
        <v>30</v>
      </c>
      <c r="C33" s="25">
        <v>1</v>
      </c>
      <c r="D33" s="25" t="s">
        <v>55</v>
      </c>
      <c r="E33" s="25">
        <v>120</v>
      </c>
      <c r="F33" s="25">
        <v>2</v>
      </c>
      <c r="G33" s="25">
        <v>1</v>
      </c>
      <c r="H33" s="25">
        <v>39.9</v>
      </c>
      <c r="I33" s="25">
        <f>ROUND(I32-H33,1)</f>
        <v>170.9</v>
      </c>
      <c r="J33" s="25">
        <f t="shared" si="0"/>
        <v>27.3</v>
      </c>
      <c r="K33" s="25">
        <v>40.6</v>
      </c>
      <c r="L33" s="25">
        <f>ROUND(L32-K33,1)</f>
        <v>170.9</v>
      </c>
      <c r="M33" s="25">
        <f t="shared" si="1"/>
        <v>27.7</v>
      </c>
      <c r="N33" s="25">
        <f t="shared" si="2"/>
        <v>27.5</v>
      </c>
      <c r="O33" s="25">
        <f t="shared" si="3"/>
        <v>0.3</v>
      </c>
      <c r="P33" s="25">
        <f t="shared" si="4"/>
        <v>0.9</v>
      </c>
      <c r="Q33" s="25">
        <f>ROUND(N33/N26*100,1)</f>
        <v>83.8</v>
      </c>
      <c r="R33" s="25">
        <f>ROUND(STDEV(J33/J26*100,M33/M26*100),1)</f>
        <v>2.1</v>
      </c>
    </row>
    <row r="34" spans="1:18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1:18" x14ac:dyDescent="0.2">
      <c r="A35" s="34" t="s">
        <v>59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 ht="34" x14ac:dyDescent="0.2">
      <c r="A36" s="33" t="s">
        <v>19</v>
      </c>
      <c r="B36" s="33" t="s">
        <v>26</v>
      </c>
      <c r="C36" s="33" t="s">
        <v>53</v>
      </c>
      <c r="D36" s="33" t="s">
        <v>27</v>
      </c>
      <c r="E36" s="33" t="s">
        <v>28</v>
      </c>
      <c r="F36" s="33" t="s">
        <v>4</v>
      </c>
      <c r="G36" s="33" t="s">
        <v>29</v>
      </c>
      <c r="H36" s="33" t="s">
        <v>30</v>
      </c>
      <c r="I36" s="33" t="s">
        <v>31</v>
      </c>
      <c r="J36" s="33" t="s">
        <v>32</v>
      </c>
      <c r="K36" s="33" t="s">
        <v>33</v>
      </c>
      <c r="L36" s="33" t="s">
        <v>34</v>
      </c>
      <c r="M36" s="33" t="s">
        <v>35</v>
      </c>
      <c r="N36" s="33" t="s">
        <v>36</v>
      </c>
      <c r="O36" s="33" t="s">
        <v>37</v>
      </c>
      <c r="P36" s="33" t="s">
        <v>38</v>
      </c>
      <c r="Q36" s="33" t="s">
        <v>54</v>
      </c>
      <c r="R36" s="33" t="s">
        <v>44</v>
      </c>
    </row>
    <row r="37" spans="1:18" x14ac:dyDescent="0.2">
      <c r="A37" s="21" t="s">
        <v>5</v>
      </c>
      <c r="B37" s="21">
        <v>12</v>
      </c>
      <c r="C37" s="21">
        <v>1</v>
      </c>
      <c r="D37" s="21" t="s">
        <v>39</v>
      </c>
      <c r="E37" s="21">
        <v>300</v>
      </c>
      <c r="F37" s="21">
        <v>5</v>
      </c>
      <c r="G37" s="21">
        <v>1</v>
      </c>
      <c r="H37" s="21">
        <v>47.2</v>
      </c>
      <c r="I37" s="21"/>
      <c r="J37" s="21">
        <f t="shared" ref="J37:J60" si="5">ROUND(H37/1000/$B$2/G37,1)</f>
        <v>32.200000000000003</v>
      </c>
      <c r="K37" s="21">
        <v>48.3</v>
      </c>
      <c r="L37" s="21"/>
      <c r="M37" s="21">
        <f t="shared" ref="M37:M60" si="6">ROUND(K37/1000/$B$2/G37,1)</f>
        <v>33</v>
      </c>
      <c r="N37" s="21">
        <f t="shared" ref="N37:N60" si="7">ROUND(AVERAGE(J37,M37),1)</f>
        <v>32.6</v>
      </c>
      <c r="O37" s="21">
        <f t="shared" ref="O37:O60" si="8">ROUND(STDEV(J37,M37),1)</f>
        <v>0.6</v>
      </c>
      <c r="P37" s="21">
        <f t="shared" ref="P37:P60" si="9">ROUND(N37/B37,1)</f>
        <v>2.7</v>
      </c>
      <c r="Q37" s="21"/>
      <c r="R37" s="21"/>
    </row>
    <row r="38" spans="1:18" x14ac:dyDescent="0.2">
      <c r="A38" s="23" t="s">
        <v>5</v>
      </c>
      <c r="B38" s="23">
        <v>12</v>
      </c>
      <c r="C38" s="23">
        <v>1</v>
      </c>
      <c r="D38" s="23" t="s">
        <v>40</v>
      </c>
      <c r="E38" s="23">
        <v>60</v>
      </c>
      <c r="F38" s="23">
        <v>1</v>
      </c>
      <c r="G38" s="23">
        <v>1</v>
      </c>
      <c r="H38" s="23">
        <v>43.6</v>
      </c>
      <c r="I38" s="23">
        <f>ROUND($B$6-H38,1)</f>
        <v>206.4</v>
      </c>
      <c r="J38" s="23">
        <f t="shared" si="5"/>
        <v>29.8</v>
      </c>
      <c r="K38" s="23">
        <v>43.2</v>
      </c>
      <c r="L38" s="23">
        <f>ROUND($B$6-K38,1)</f>
        <v>206.8</v>
      </c>
      <c r="M38" s="23">
        <f t="shared" si="6"/>
        <v>29.5</v>
      </c>
      <c r="N38" s="23">
        <f t="shared" si="7"/>
        <v>29.7</v>
      </c>
      <c r="O38" s="23">
        <f t="shared" si="8"/>
        <v>0.2</v>
      </c>
      <c r="P38" s="23">
        <f t="shared" si="9"/>
        <v>2.5</v>
      </c>
      <c r="Q38" s="23"/>
      <c r="R38" s="23"/>
    </row>
    <row r="39" spans="1:18" x14ac:dyDescent="0.2">
      <c r="A39" s="23" t="s">
        <v>5</v>
      </c>
      <c r="B39" s="23">
        <v>12</v>
      </c>
      <c r="C39" s="23">
        <v>1</v>
      </c>
      <c r="D39" s="23" t="s">
        <v>40</v>
      </c>
      <c r="E39" s="23">
        <v>120</v>
      </c>
      <c r="F39" s="23">
        <v>2</v>
      </c>
      <c r="G39" s="23">
        <v>1</v>
      </c>
      <c r="H39" s="23">
        <v>35.799999999999997</v>
      </c>
      <c r="I39" s="23">
        <f>ROUND(I38-H39,1)</f>
        <v>170.6</v>
      </c>
      <c r="J39" s="23">
        <f t="shared" si="5"/>
        <v>24.5</v>
      </c>
      <c r="K39" s="23">
        <v>36.4</v>
      </c>
      <c r="L39" s="23">
        <f>ROUND(L38-K39,1)</f>
        <v>170.4</v>
      </c>
      <c r="M39" s="23">
        <f t="shared" si="6"/>
        <v>24.9</v>
      </c>
      <c r="N39" s="23">
        <f t="shared" si="7"/>
        <v>24.7</v>
      </c>
      <c r="O39" s="23">
        <f t="shared" si="8"/>
        <v>0.3</v>
      </c>
      <c r="P39" s="23">
        <f t="shared" si="9"/>
        <v>2.1</v>
      </c>
      <c r="Q39" s="23"/>
      <c r="R39" s="23"/>
    </row>
    <row r="40" spans="1:18" x14ac:dyDescent="0.2">
      <c r="A40" s="23" t="s">
        <v>5</v>
      </c>
      <c r="B40" s="23">
        <v>12</v>
      </c>
      <c r="C40" s="23">
        <v>1</v>
      </c>
      <c r="D40" s="23" t="s">
        <v>40</v>
      </c>
      <c r="E40" s="23">
        <v>180</v>
      </c>
      <c r="F40" s="23">
        <v>3</v>
      </c>
      <c r="G40" s="23">
        <v>1</v>
      </c>
      <c r="H40" s="23">
        <v>32.700000000000003</v>
      </c>
      <c r="I40" s="23">
        <f>ROUND(I39-H40,1)</f>
        <v>137.9</v>
      </c>
      <c r="J40" s="23">
        <f t="shared" si="5"/>
        <v>22.3</v>
      </c>
      <c r="K40" s="23">
        <v>32</v>
      </c>
      <c r="L40" s="23">
        <f>ROUND(L39-K40,1)</f>
        <v>138.4</v>
      </c>
      <c r="M40" s="23">
        <f t="shared" si="6"/>
        <v>21.9</v>
      </c>
      <c r="N40" s="23">
        <f t="shared" si="7"/>
        <v>22.1</v>
      </c>
      <c r="O40" s="23">
        <f t="shared" si="8"/>
        <v>0.3</v>
      </c>
      <c r="P40" s="23">
        <f t="shared" si="9"/>
        <v>1.8</v>
      </c>
      <c r="Q40" s="23"/>
      <c r="R40" s="23"/>
    </row>
    <row r="41" spans="1:18" x14ac:dyDescent="0.2">
      <c r="A41" s="23" t="s">
        <v>5</v>
      </c>
      <c r="B41" s="23">
        <v>12</v>
      </c>
      <c r="C41" s="23">
        <v>1</v>
      </c>
      <c r="D41" s="23" t="s">
        <v>40</v>
      </c>
      <c r="E41" s="23">
        <v>240</v>
      </c>
      <c r="F41" s="23">
        <v>4</v>
      </c>
      <c r="G41" s="23">
        <v>1</v>
      </c>
      <c r="H41" s="23">
        <v>23.7</v>
      </c>
      <c r="I41" s="23">
        <f>ROUND(I40-H41,1)</f>
        <v>114.2</v>
      </c>
      <c r="J41" s="23">
        <f t="shared" si="5"/>
        <v>16.2</v>
      </c>
      <c r="K41" s="23">
        <v>24.5</v>
      </c>
      <c r="L41" s="23">
        <f>ROUND(L40-K41,1)</f>
        <v>113.9</v>
      </c>
      <c r="M41" s="23">
        <f t="shared" si="6"/>
        <v>16.7</v>
      </c>
      <c r="N41" s="23">
        <f t="shared" si="7"/>
        <v>16.5</v>
      </c>
      <c r="O41" s="23">
        <f t="shared" si="8"/>
        <v>0.4</v>
      </c>
      <c r="P41" s="23">
        <f t="shared" si="9"/>
        <v>1.4</v>
      </c>
      <c r="Q41" s="23"/>
      <c r="R41" s="23"/>
    </row>
    <row r="42" spans="1:18" x14ac:dyDescent="0.2">
      <c r="A42" s="23" t="s">
        <v>5</v>
      </c>
      <c r="B42" s="23">
        <v>12</v>
      </c>
      <c r="C42" s="23">
        <v>1</v>
      </c>
      <c r="D42" s="23" t="s">
        <v>40</v>
      </c>
      <c r="E42" s="23">
        <v>300</v>
      </c>
      <c r="F42" s="23">
        <v>5</v>
      </c>
      <c r="G42" s="23">
        <v>1</v>
      </c>
      <c r="H42" s="23">
        <v>21.7</v>
      </c>
      <c r="I42" s="23">
        <f>ROUND(I41-H42,1)</f>
        <v>92.5</v>
      </c>
      <c r="J42" s="23">
        <f t="shared" si="5"/>
        <v>14.8</v>
      </c>
      <c r="K42" s="23">
        <v>20.8</v>
      </c>
      <c r="L42" s="23">
        <f>ROUND(L41-K42,1)</f>
        <v>93.1</v>
      </c>
      <c r="M42" s="23">
        <f t="shared" si="6"/>
        <v>14.2</v>
      </c>
      <c r="N42" s="23">
        <f t="shared" si="7"/>
        <v>14.5</v>
      </c>
      <c r="O42" s="23">
        <f t="shared" si="8"/>
        <v>0.4</v>
      </c>
      <c r="P42" s="23">
        <f t="shared" si="9"/>
        <v>1.2</v>
      </c>
      <c r="Q42" s="23"/>
      <c r="R42" s="23"/>
    </row>
    <row r="43" spans="1:18" x14ac:dyDescent="0.2">
      <c r="A43" s="25" t="s">
        <v>5</v>
      </c>
      <c r="B43" s="25">
        <v>12</v>
      </c>
      <c r="C43" s="25">
        <v>1</v>
      </c>
      <c r="D43" s="25" t="s">
        <v>55</v>
      </c>
      <c r="E43" s="25">
        <v>60</v>
      </c>
      <c r="F43" s="25">
        <v>1</v>
      </c>
      <c r="G43" s="25">
        <v>1</v>
      </c>
      <c r="H43" s="25">
        <v>25</v>
      </c>
      <c r="I43" s="25">
        <f>ROUND($B$6-H43,1)</f>
        <v>225</v>
      </c>
      <c r="J43" s="25">
        <f t="shared" si="5"/>
        <v>17.100000000000001</v>
      </c>
      <c r="K43" s="25">
        <v>25.6</v>
      </c>
      <c r="L43" s="25">
        <f>ROUND($B$6-K43,1)</f>
        <v>224.4</v>
      </c>
      <c r="M43" s="25">
        <f t="shared" si="6"/>
        <v>17.5</v>
      </c>
      <c r="N43" s="25">
        <f t="shared" si="7"/>
        <v>17.3</v>
      </c>
      <c r="O43" s="25">
        <f t="shared" si="8"/>
        <v>0.3</v>
      </c>
      <c r="P43" s="25">
        <f t="shared" si="9"/>
        <v>1.4</v>
      </c>
      <c r="Q43" s="25">
        <f>ROUND(N43/N37*100,1)</f>
        <v>53.1</v>
      </c>
      <c r="R43" s="25">
        <f>ROUND(STDEV(J43/J37*100,M43/M37*100),1)</f>
        <v>0.1</v>
      </c>
    </row>
    <row r="44" spans="1:18" x14ac:dyDescent="0.2">
      <c r="A44" s="25" t="s">
        <v>5</v>
      </c>
      <c r="B44" s="25">
        <v>12</v>
      </c>
      <c r="C44" s="25">
        <v>1</v>
      </c>
      <c r="D44" s="25" t="s">
        <v>55</v>
      </c>
      <c r="E44" s="25">
        <v>120</v>
      </c>
      <c r="F44" s="25">
        <v>2</v>
      </c>
      <c r="G44" s="25">
        <v>1</v>
      </c>
      <c r="H44" s="25">
        <v>26.6</v>
      </c>
      <c r="I44" s="25">
        <f>ROUND(I43-H44,1)</f>
        <v>198.4</v>
      </c>
      <c r="J44" s="25">
        <f t="shared" si="5"/>
        <v>18.2</v>
      </c>
      <c r="K44" s="25">
        <v>25.9</v>
      </c>
      <c r="L44" s="25">
        <f>ROUND(L43-K44,1)</f>
        <v>198.5</v>
      </c>
      <c r="M44" s="25">
        <f t="shared" si="6"/>
        <v>17.7</v>
      </c>
      <c r="N44" s="25">
        <f t="shared" si="7"/>
        <v>18</v>
      </c>
      <c r="O44" s="25">
        <f t="shared" si="8"/>
        <v>0.4</v>
      </c>
      <c r="P44" s="25">
        <f t="shared" si="9"/>
        <v>1.5</v>
      </c>
      <c r="Q44" s="25">
        <f>ROUND(N44/N37*100,1)</f>
        <v>55.2</v>
      </c>
      <c r="R44" s="25">
        <f>ROUND(STDEV(J44/J37*100,M44/M37*100),1)</f>
        <v>2</v>
      </c>
    </row>
    <row r="45" spans="1:18" x14ac:dyDescent="0.2">
      <c r="A45" s="21" t="s">
        <v>1</v>
      </c>
      <c r="B45" s="21">
        <v>30</v>
      </c>
      <c r="C45" s="21">
        <v>1</v>
      </c>
      <c r="D45" s="21" t="s">
        <v>39</v>
      </c>
      <c r="E45" s="21">
        <v>300</v>
      </c>
      <c r="F45" s="21">
        <v>5</v>
      </c>
      <c r="G45" s="21">
        <v>1</v>
      </c>
      <c r="H45" s="21">
        <v>47.7</v>
      </c>
      <c r="I45" s="21"/>
      <c r="J45" s="21">
        <f t="shared" si="5"/>
        <v>32.6</v>
      </c>
      <c r="K45" s="21">
        <v>48.2</v>
      </c>
      <c r="L45" s="21"/>
      <c r="M45" s="21">
        <f t="shared" si="6"/>
        <v>32.9</v>
      </c>
      <c r="N45" s="21">
        <f t="shared" si="7"/>
        <v>32.799999999999997</v>
      </c>
      <c r="O45" s="21">
        <f t="shared" si="8"/>
        <v>0.2</v>
      </c>
      <c r="P45" s="21">
        <f t="shared" si="9"/>
        <v>1.1000000000000001</v>
      </c>
      <c r="Q45" s="21"/>
      <c r="R45" s="21"/>
    </row>
    <row r="46" spans="1:18" x14ac:dyDescent="0.2">
      <c r="A46" s="23" t="s">
        <v>1</v>
      </c>
      <c r="B46" s="23">
        <v>30</v>
      </c>
      <c r="C46" s="23">
        <v>1</v>
      </c>
      <c r="D46" s="23" t="s">
        <v>40</v>
      </c>
      <c r="E46" s="23">
        <v>60</v>
      </c>
      <c r="F46" s="23">
        <v>1</v>
      </c>
      <c r="G46" s="23">
        <v>1</v>
      </c>
      <c r="H46" s="23">
        <v>43.5</v>
      </c>
      <c r="I46" s="23">
        <f>ROUND($B$6-H46,1)</f>
        <v>206.5</v>
      </c>
      <c r="J46" s="23">
        <f t="shared" si="5"/>
        <v>29.7</v>
      </c>
      <c r="K46" s="23">
        <v>42.5</v>
      </c>
      <c r="L46" s="23">
        <f>ROUND($B$6-K46,1)</f>
        <v>207.5</v>
      </c>
      <c r="M46" s="23">
        <f t="shared" si="6"/>
        <v>29</v>
      </c>
      <c r="N46" s="23">
        <f t="shared" si="7"/>
        <v>29.4</v>
      </c>
      <c r="O46" s="23">
        <f t="shared" si="8"/>
        <v>0.5</v>
      </c>
      <c r="P46" s="23">
        <f t="shared" si="9"/>
        <v>1</v>
      </c>
      <c r="Q46" s="23"/>
      <c r="R46" s="23"/>
    </row>
    <row r="47" spans="1:18" x14ac:dyDescent="0.2">
      <c r="A47" s="23" t="s">
        <v>1</v>
      </c>
      <c r="B47" s="23">
        <v>30</v>
      </c>
      <c r="C47" s="23">
        <v>1</v>
      </c>
      <c r="D47" s="23" t="s">
        <v>40</v>
      </c>
      <c r="E47" s="23">
        <v>120</v>
      </c>
      <c r="F47" s="23">
        <v>2</v>
      </c>
      <c r="G47" s="23">
        <v>1</v>
      </c>
      <c r="H47" s="23">
        <v>37.700000000000003</v>
      </c>
      <c r="I47" s="23">
        <f>ROUND(I46-H47,1)</f>
        <v>168.8</v>
      </c>
      <c r="J47" s="23">
        <f t="shared" si="5"/>
        <v>25.8</v>
      </c>
      <c r="K47" s="23">
        <v>38.1</v>
      </c>
      <c r="L47" s="23">
        <f>ROUND(L46-K47,1)</f>
        <v>169.4</v>
      </c>
      <c r="M47" s="23">
        <f t="shared" si="6"/>
        <v>26</v>
      </c>
      <c r="N47" s="23">
        <f t="shared" si="7"/>
        <v>25.9</v>
      </c>
      <c r="O47" s="23">
        <f t="shared" si="8"/>
        <v>0.1</v>
      </c>
      <c r="P47" s="23">
        <f t="shared" si="9"/>
        <v>0.9</v>
      </c>
      <c r="Q47" s="23"/>
      <c r="R47" s="23"/>
    </row>
    <row r="48" spans="1:18" x14ac:dyDescent="0.2">
      <c r="A48" s="23" t="s">
        <v>1</v>
      </c>
      <c r="B48" s="23">
        <v>30</v>
      </c>
      <c r="C48" s="23">
        <v>1</v>
      </c>
      <c r="D48" s="23" t="s">
        <v>40</v>
      </c>
      <c r="E48" s="23">
        <v>180</v>
      </c>
      <c r="F48" s="23">
        <v>3</v>
      </c>
      <c r="G48" s="23">
        <v>1</v>
      </c>
      <c r="H48" s="23">
        <v>35.5</v>
      </c>
      <c r="I48" s="23">
        <f>ROUND(I47-H48,1)</f>
        <v>133.30000000000001</v>
      </c>
      <c r="J48" s="23">
        <f t="shared" si="5"/>
        <v>24.2</v>
      </c>
      <c r="K48" s="23">
        <v>34.9</v>
      </c>
      <c r="L48" s="23">
        <f>ROUND(L47-K48,1)</f>
        <v>134.5</v>
      </c>
      <c r="M48" s="23">
        <f t="shared" si="6"/>
        <v>23.8</v>
      </c>
      <c r="N48" s="23">
        <f t="shared" si="7"/>
        <v>24</v>
      </c>
      <c r="O48" s="23">
        <f t="shared" si="8"/>
        <v>0.3</v>
      </c>
      <c r="P48" s="23">
        <f t="shared" si="9"/>
        <v>0.8</v>
      </c>
      <c r="Q48" s="23"/>
      <c r="R48" s="23"/>
    </row>
    <row r="49" spans="1:18" x14ac:dyDescent="0.2">
      <c r="A49" s="23" t="s">
        <v>1</v>
      </c>
      <c r="B49" s="23">
        <v>30</v>
      </c>
      <c r="C49" s="23">
        <v>1</v>
      </c>
      <c r="D49" s="23" t="s">
        <v>40</v>
      </c>
      <c r="E49" s="23">
        <v>240</v>
      </c>
      <c r="F49" s="23">
        <v>4</v>
      </c>
      <c r="G49" s="23">
        <v>1</v>
      </c>
      <c r="H49" s="23">
        <v>29.5</v>
      </c>
      <c r="I49" s="23">
        <f>ROUND(I48-H49,1)</f>
        <v>103.8</v>
      </c>
      <c r="J49" s="23">
        <f t="shared" si="5"/>
        <v>20.2</v>
      </c>
      <c r="K49" s="23">
        <v>30.2</v>
      </c>
      <c r="L49" s="23">
        <f>ROUND(L48-K49,1)</f>
        <v>104.3</v>
      </c>
      <c r="M49" s="23">
        <f t="shared" si="6"/>
        <v>20.6</v>
      </c>
      <c r="N49" s="23">
        <f t="shared" si="7"/>
        <v>20.399999999999999</v>
      </c>
      <c r="O49" s="23">
        <f t="shared" si="8"/>
        <v>0.3</v>
      </c>
      <c r="P49" s="23">
        <f t="shared" si="9"/>
        <v>0.7</v>
      </c>
      <c r="Q49" s="23"/>
      <c r="R49" s="23"/>
    </row>
    <row r="50" spans="1:18" x14ac:dyDescent="0.2">
      <c r="A50" s="23" t="s">
        <v>1</v>
      </c>
      <c r="B50" s="23">
        <v>30</v>
      </c>
      <c r="C50" s="23">
        <v>1</v>
      </c>
      <c r="D50" s="23" t="s">
        <v>40</v>
      </c>
      <c r="E50" s="23">
        <v>300</v>
      </c>
      <c r="F50" s="23">
        <v>5</v>
      </c>
      <c r="G50" s="23">
        <v>1</v>
      </c>
      <c r="H50" s="23">
        <v>27.6</v>
      </c>
      <c r="I50" s="23">
        <f>ROUND(I49-H50,1)</f>
        <v>76.2</v>
      </c>
      <c r="J50" s="23">
        <f t="shared" si="5"/>
        <v>18.899999999999999</v>
      </c>
      <c r="K50" s="23">
        <v>26.7</v>
      </c>
      <c r="L50" s="23">
        <f>ROUND(L49-K50,1)</f>
        <v>77.599999999999994</v>
      </c>
      <c r="M50" s="23">
        <f t="shared" si="6"/>
        <v>18.2</v>
      </c>
      <c r="N50" s="23">
        <f t="shared" si="7"/>
        <v>18.600000000000001</v>
      </c>
      <c r="O50" s="23">
        <f t="shared" si="8"/>
        <v>0.5</v>
      </c>
      <c r="P50" s="23">
        <f t="shared" si="9"/>
        <v>0.6</v>
      </c>
      <c r="Q50" s="23"/>
      <c r="R50" s="23"/>
    </row>
    <row r="51" spans="1:18" x14ac:dyDescent="0.2">
      <c r="A51" s="25" t="s">
        <v>1</v>
      </c>
      <c r="B51" s="25">
        <v>30</v>
      </c>
      <c r="C51" s="25">
        <v>1</v>
      </c>
      <c r="D51" s="25" t="s">
        <v>55</v>
      </c>
      <c r="E51" s="25">
        <v>60</v>
      </c>
      <c r="F51" s="25">
        <v>1</v>
      </c>
      <c r="G51" s="25">
        <v>1</v>
      </c>
      <c r="H51" s="25">
        <v>39.299999999999997</v>
      </c>
      <c r="I51" s="25">
        <f>ROUND($B$6-H51,1)</f>
        <v>210.7</v>
      </c>
      <c r="J51" s="25">
        <f t="shared" si="5"/>
        <v>26.8</v>
      </c>
      <c r="K51" s="25">
        <v>40.200000000000003</v>
      </c>
      <c r="L51" s="25">
        <f>ROUND($B$6-K51,1)</f>
        <v>209.8</v>
      </c>
      <c r="M51" s="25">
        <f t="shared" si="6"/>
        <v>27.5</v>
      </c>
      <c r="N51" s="25">
        <f t="shared" si="7"/>
        <v>27.2</v>
      </c>
      <c r="O51" s="25">
        <f t="shared" si="8"/>
        <v>0.5</v>
      </c>
      <c r="P51" s="25">
        <f t="shared" si="9"/>
        <v>0.9</v>
      </c>
      <c r="Q51" s="25">
        <f>ROUND(N51/N45*100,1)</f>
        <v>82.9</v>
      </c>
      <c r="R51" s="25">
        <f>ROUND(STDEV(J51/J45*100,M51/M45*100),1)</f>
        <v>1</v>
      </c>
    </row>
    <row r="52" spans="1:18" x14ac:dyDescent="0.2">
      <c r="A52" s="25" t="s">
        <v>1</v>
      </c>
      <c r="B52" s="25">
        <v>30</v>
      </c>
      <c r="C52" s="25">
        <v>1</v>
      </c>
      <c r="D52" s="25" t="s">
        <v>55</v>
      </c>
      <c r="E52" s="25">
        <v>120</v>
      </c>
      <c r="F52" s="25">
        <v>2</v>
      </c>
      <c r="G52" s="25">
        <v>1</v>
      </c>
      <c r="H52" s="25">
        <v>41.5</v>
      </c>
      <c r="I52" s="25">
        <f>ROUND(I51-H52,1)</f>
        <v>169.2</v>
      </c>
      <c r="J52" s="25">
        <f t="shared" si="5"/>
        <v>28.3</v>
      </c>
      <c r="K52" s="25">
        <v>40.9</v>
      </c>
      <c r="L52" s="25">
        <f>ROUND(L51-K52,1)</f>
        <v>168.9</v>
      </c>
      <c r="M52" s="25">
        <f t="shared" si="6"/>
        <v>27.9</v>
      </c>
      <c r="N52" s="25">
        <f t="shared" si="7"/>
        <v>28.1</v>
      </c>
      <c r="O52" s="25">
        <f t="shared" si="8"/>
        <v>0.3</v>
      </c>
      <c r="P52" s="25">
        <f t="shared" si="9"/>
        <v>0.9</v>
      </c>
      <c r="Q52" s="25">
        <f>ROUND(N52/N45*100,1)</f>
        <v>85.7</v>
      </c>
      <c r="R52" s="25">
        <f>ROUND(STDEV(J52/J45*100,M52/M45*100),1)</f>
        <v>1.4</v>
      </c>
    </row>
    <row r="53" spans="1:18" x14ac:dyDescent="0.2">
      <c r="A53" s="21" t="s">
        <v>0</v>
      </c>
      <c r="B53" s="21">
        <v>30</v>
      </c>
      <c r="C53" s="21">
        <v>1</v>
      </c>
      <c r="D53" s="21" t="s">
        <v>39</v>
      </c>
      <c r="E53" s="21">
        <v>300</v>
      </c>
      <c r="F53" s="21">
        <v>5</v>
      </c>
      <c r="G53" s="21">
        <v>1</v>
      </c>
      <c r="H53" s="21">
        <v>47.7</v>
      </c>
      <c r="I53" s="21"/>
      <c r="J53" s="21">
        <f t="shared" si="5"/>
        <v>32.6</v>
      </c>
      <c r="K53" s="21">
        <v>48.4</v>
      </c>
      <c r="L53" s="21"/>
      <c r="M53" s="21">
        <f t="shared" si="6"/>
        <v>33.1</v>
      </c>
      <c r="N53" s="21">
        <f t="shared" si="7"/>
        <v>32.9</v>
      </c>
      <c r="O53" s="21">
        <f t="shared" si="8"/>
        <v>0.4</v>
      </c>
      <c r="P53" s="21">
        <f t="shared" si="9"/>
        <v>1.1000000000000001</v>
      </c>
      <c r="Q53" s="21"/>
      <c r="R53" s="21"/>
    </row>
    <row r="54" spans="1:18" x14ac:dyDescent="0.2">
      <c r="A54" s="23" t="s">
        <v>0</v>
      </c>
      <c r="B54" s="23">
        <v>30</v>
      </c>
      <c r="C54" s="23">
        <v>1</v>
      </c>
      <c r="D54" s="23" t="s">
        <v>40</v>
      </c>
      <c r="E54" s="23">
        <v>60</v>
      </c>
      <c r="F54" s="23">
        <v>1</v>
      </c>
      <c r="G54" s="23">
        <v>1</v>
      </c>
      <c r="H54" s="23">
        <v>43.9</v>
      </c>
      <c r="I54" s="23">
        <f>ROUND($B$6-H54,1)</f>
        <v>206.1</v>
      </c>
      <c r="J54" s="23">
        <f t="shared" si="5"/>
        <v>30</v>
      </c>
      <c r="K54" s="23">
        <v>43.5</v>
      </c>
      <c r="L54" s="23">
        <f>ROUND($B$6-K54,1)</f>
        <v>206.5</v>
      </c>
      <c r="M54" s="23">
        <f t="shared" si="6"/>
        <v>29.7</v>
      </c>
      <c r="N54" s="23">
        <f t="shared" si="7"/>
        <v>29.9</v>
      </c>
      <c r="O54" s="23">
        <f t="shared" si="8"/>
        <v>0.2</v>
      </c>
      <c r="P54" s="23">
        <f t="shared" si="9"/>
        <v>1</v>
      </c>
      <c r="Q54" s="23"/>
      <c r="R54" s="23"/>
    </row>
    <row r="55" spans="1:18" x14ac:dyDescent="0.2">
      <c r="A55" s="23" t="s">
        <v>0</v>
      </c>
      <c r="B55" s="23">
        <v>30</v>
      </c>
      <c r="C55" s="23">
        <v>1</v>
      </c>
      <c r="D55" s="23" t="s">
        <v>40</v>
      </c>
      <c r="E55" s="23">
        <v>120</v>
      </c>
      <c r="F55" s="23">
        <v>2</v>
      </c>
      <c r="G55" s="23">
        <v>1</v>
      </c>
      <c r="H55" s="23">
        <v>39.9</v>
      </c>
      <c r="I55" s="23">
        <f>ROUND(I54-H55,1)</f>
        <v>166.2</v>
      </c>
      <c r="J55" s="23">
        <f t="shared" si="5"/>
        <v>27.3</v>
      </c>
      <c r="K55" s="23">
        <v>40.9</v>
      </c>
      <c r="L55" s="23">
        <f>ROUND(L54-K55,1)</f>
        <v>165.6</v>
      </c>
      <c r="M55" s="23">
        <f t="shared" si="6"/>
        <v>27.9</v>
      </c>
      <c r="N55" s="23">
        <f t="shared" si="7"/>
        <v>27.6</v>
      </c>
      <c r="O55" s="23">
        <f t="shared" si="8"/>
        <v>0.4</v>
      </c>
      <c r="P55" s="23">
        <f t="shared" si="9"/>
        <v>0.9</v>
      </c>
      <c r="Q55" s="23"/>
      <c r="R55" s="23"/>
    </row>
    <row r="56" spans="1:18" x14ac:dyDescent="0.2">
      <c r="A56" s="23" t="s">
        <v>0</v>
      </c>
      <c r="B56" s="23">
        <v>30</v>
      </c>
      <c r="C56" s="23">
        <v>1</v>
      </c>
      <c r="D56" s="23" t="s">
        <v>40</v>
      </c>
      <c r="E56" s="23">
        <v>180</v>
      </c>
      <c r="F56" s="23">
        <v>3</v>
      </c>
      <c r="G56" s="23">
        <v>1</v>
      </c>
      <c r="H56" s="23">
        <v>36</v>
      </c>
      <c r="I56" s="23">
        <f>ROUND(I55-H56,1)</f>
        <v>130.19999999999999</v>
      </c>
      <c r="J56" s="23">
        <f t="shared" si="5"/>
        <v>24.6</v>
      </c>
      <c r="K56" s="23">
        <v>35.5</v>
      </c>
      <c r="L56" s="23">
        <f>ROUND(L55-K56,1)</f>
        <v>130.1</v>
      </c>
      <c r="M56" s="23">
        <f t="shared" si="6"/>
        <v>24.2</v>
      </c>
      <c r="N56" s="23">
        <f t="shared" si="7"/>
        <v>24.4</v>
      </c>
      <c r="O56" s="23">
        <f t="shared" si="8"/>
        <v>0.3</v>
      </c>
      <c r="P56" s="23">
        <f t="shared" si="9"/>
        <v>0.8</v>
      </c>
      <c r="Q56" s="23"/>
      <c r="R56" s="23"/>
    </row>
    <row r="57" spans="1:18" x14ac:dyDescent="0.2">
      <c r="A57" s="23" t="s">
        <v>0</v>
      </c>
      <c r="B57" s="23">
        <v>30</v>
      </c>
      <c r="C57" s="23">
        <v>1</v>
      </c>
      <c r="D57" s="23" t="s">
        <v>40</v>
      </c>
      <c r="E57" s="23">
        <v>240</v>
      </c>
      <c r="F57" s="23">
        <v>4</v>
      </c>
      <c r="G57" s="23">
        <v>1</v>
      </c>
      <c r="H57" s="23">
        <v>33.4</v>
      </c>
      <c r="I57" s="23">
        <f>ROUND(I56-H57,1)</f>
        <v>96.8</v>
      </c>
      <c r="J57" s="23">
        <f t="shared" si="5"/>
        <v>22.8</v>
      </c>
      <c r="K57" s="23">
        <v>34</v>
      </c>
      <c r="L57" s="23">
        <f>ROUND(L56-K57,1)</f>
        <v>96.1</v>
      </c>
      <c r="M57" s="23">
        <f t="shared" si="6"/>
        <v>23.2</v>
      </c>
      <c r="N57" s="23">
        <f t="shared" si="7"/>
        <v>23</v>
      </c>
      <c r="O57" s="23">
        <f t="shared" si="8"/>
        <v>0.3</v>
      </c>
      <c r="P57" s="23">
        <f t="shared" si="9"/>
        <v>0.8</v>
      </c>
      <c r="Q57" s="23"/>
      <c r="R57" s="23"/>
    </row>
    <row r="58" spans="1:18" x14ac:dyDescent="0.2">
      <c r="A58" s="23" t="s">
        <v>0</v>
      </c>
      <c r="B58" s="23">
        <v>30</v>
      </c>
      <c r="C58" s="23">
        <v>1</v>
      </c>
      <c r="D58" s="23" t="s">
        <v>40</v>
      </c>
      <c r="E58" s="23">
        <v>300</v>
      </c>
      <c r="F58" s="23">
        <v>5</v>
      </c>
      <c r="G58" s="23">
        <v>1</v>
      </c>
      <c r="H58" s="23">
        <v>32.200000000000003</v>
      </c>
      <c r="I58" s="23">
        <f>ROUND(I57-H58,1)</f>
        <v>64.599999999999994</v>
      </c>
      <c r="J58" s="23">
        <f t="shared" si="5"/>
        <v>22</v>
      </c>
      <c r="K58" s="23">
        <v>31.5</v>
      </c>
      <c r="L58" s="23">
        <f>ROUND(L57-K58,1)</f>
        <v>64.599999999999994</v>
      </c>
      <c r="M58" s="23">
        <f t="shared" si="6"/>
        <v>21.5</v>
      </c>
      <c r="N58" s="23">
        <f t="shared" si="7"/>
        <v>21.8</v>
      </c>
      <c r="O58" s="23">
        <f t="shared" si="8"/>
        <v>0.4</v>
      </c>
      <c r="P58" s="23">
        <f t="shared" si="9"/>
        <v>0.7</v>
      </c>
      <c r="Q58" s="23"/>
      <c r="R58" s="23"/>
    </row>
    <row r="59" spans="1:18" x14ac:dyDescent="0.2">
      <c r="A59" s="25" t="s">
        <v>0</v>
      </c>
      <c r="B59" s="25">
        <v>30</v>
      </c>
      <c r="C59" s="25">
        <v>1</v>
      </c>
      <c r="D59" s="25" t="s">
        <v>55</v>
      </c>
      <c r="E59" s="25">
        <v>60</v>
      </c>
      <c r="F59" s="25">
        <v>1</v>
      </c>
      <c r="G59" s="25">
        <v>1</v>
      </c>
      <c r="H59" s="25">
        <v>44.6</v>
      </c>
      <c r="I59" s="25">
        <f>ROUND($B$6-H59,1)</f>
        <v>205.4</v>
      </c>
      <c r="J59" s="25">
        <f t="shared" si="5"/>
        <v>30.5</v>
      </c>
      <c r="K59" s="25">
        <v>45.4</v>
      </c>
      <c r="L59" s="25">
        <f>ROUND($B$6-K59,1)</f>
        <v>204.6</v>
      </c>
      <c r="M59" s="25">
        <f t="shared" si="6"/>
        <v>31</v>
      </c>
      <c r="N59" s="25">
        <f t="shared" si="7"/>
        <v>30.8</v>
      </c>
      <c r="O59" s="25">
        <f t="shared" si="8"/>
        <v>0.4</v>
      </c>
      <c r="P59" s="25">
        <f t="shared" si="9"/>
        <v>1</v>
      </c>
      <c r="Q59" s="25">
        <f>ROUND(N59/N53*100,1)</f>
        <v>93.6</v>
      </c>
      <c r="R59" s="25">
        <f>ROUND(STDEV(J59/J53*100,M59/M53*100),1)</f>
        <v>0.1</v>
      </c>
    </row>
    <row r="60" spans="1:18" x14ac:dyDescent="0.2">
      <c r="A60" s="25" t="s">
        <v>0</v>
      </c>
      <c r="B60" s="25">
        <v>30</v>
      </c>
      <c r="C60" s="25">
        <v>1</v>
      </c>
      <c r="D60" s="25" t="s">
        <v>55</v>
      </c>
      <c r="E60" s="25">
        <v>120</v>
      </c>
      <c r="F60" s="25">
        <v>2</v>
      </c>
      <c r="G60" s="25">
        <v>1</v>
      </c>
      <c r="H60" s="25">
        <v>46.1</v>
      </c>
      <c r="I60" s="25">
        <f>ROUND(I59-H60,1)</f>
        <v>159.30000000000001</v>
      </c>
      <c r="J60" s="25">
        <f t="shared" si="5"/>
        <v>31.5</v>
      </c>
      <c r="K60" s="25">
        <v>45.2</v>
      </c>
      <c r="L60" s="25">
        <f>ROUND(L59-K60,1)</f>
        <v>159.4</v>
      </c>
      <c r="M60" s="25">
        <f t="shared" si="6"/>
        <v>30.9</v>
      </c>
      <c r="N60" s="25">
        <f t="shared" si="7"/>
        <v>31.2</v>
      </c>
      <c r="O60" s="25">
        <f t="shared" si="8"/>
        <v>0.4</v>
      </c>
      <c r="P60" s="25">
        <f t="shared" si="9"/>
        <v>1</v>
      </c>
      <c r="Q60" s="25">
        <f>ROUND(N60/N53*100,1)</f>
        <v>94.8</v>
      </c>
      <c r="R60" s="25">
        <f>ROUND(STDEV(J60/J53*100,M60/M53*100),1)</f>
        <v>2.2999999999999998</v>
      </c>
    </row>
    <row r="61" spans="1:18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spans="1:18" x14ac:dyDescent="0.2">
      <c r="A62" s="34" t="s">
        <v>60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1:18" ht="34" x14ac:dyDescent="0.2">
      <c r="A63" s="33" t="s">
        <v>19</v>
      </c>
      <c r="B63" s="33" t="s">
        <v>26</v>
      </c>
      <c r="C63" s="33" t="s">
        <v>53</v>
      </c>
      <c r="D63" s="33" t="s">
        <v>27</v>
      </c>
      <c r="E63" s="33" t="s">
        <v>28</v>
      </c>
      <c r="F63" s="33" t="s">
        <v>4</v>
      </c>
      <c r="G63" s="33" t="s">
        <v>29</v>
      </c>
      <c r="H63" s="33" t="s">
        <v>30</v>
      </c>
      <c r="I63" s="33" t="s">
        <v>31</v>
      </c>
      <c r="J63" s="33" t="s">
        <v>32</v>
      </c>
      <c r="K63" s="33" t="s">
        <v>33</v>
      </c>
      <c r="L63" s="33" t="s">
        <v>34</v>
      </c>
      <c r="M63" s="33" t="s">
        <v>35</v>
      </c>
      <c r="N63" s="33" t="s">
        <v>36</v>
      </c>
      <c r="O63" s="33" t="s">
        <v>37</v>
      </c>
      <c r="P63" s="33" t="s">
        <v>38</v>
      </c>
      <c r="Q63" s="33" t="s">
        <v>54</v>
      </c>
      <c r="R63" s="33" t="s">
        <v>44</v>
      </c>
    </row>
    <row r="64" spans="1:18" x14ac:dyDescent="0.2">
      <c r="A64" s="21" t="s">
        <v>5</v>
      </c>
      <c r="B64" s="21">
        <v>12</v>
      </c>
      <c r="C64" s="21">
        <v>1</v>
      </c>
      <c r="D64" s="21" t="s">
        <v>39</v>
      </c>
      <c r="E64" s="21">
        <v>300</v>
      </c>
      <c r="F64" s="21">
        <v>5</v>
      </c>
      <c r="G64" s="21">
        <v>1</v>
      </c>
      <c r="H64" s="21">
        <v>48.2</v>
      </c>
      <c r="I64" s="21"/>
      <c r="J64" s="21">
        <f t="shared" ref="J64:J87" si="10">ROUND(H64/1000/$B$2/G64,1)</f>
        <v>32.9</v>
      </c>
      <c r="K64" s="21">
        <v>47.5</v>
      </c>
      <c r="L64" s="21"/>
      <c r="M64" s="21">
        <f t="shared" ref="M64:M87" si="11">ROUND(K64/1000/$B$2/G64,1)</f>
        <v>32.4</v>
      </c>
      <c r="N64" s="21">
        <f t="shared" ref="N64:N87" si="12">ROUND(AVERAGE(J64,M64),1)</f>
        <v>32.700000000000003</v>
      </c>
      <c r="O64" s="21">
        <f t="shared" ref="O64:O87" si="13">ROUND(STDEV(J64,M64),1)</f>
        <v>0.4</v>
      </c>
      <c r="P64" s="21">
        <f t="shared" ref="P64:P87" si="14">ROUND(N64/B64,1)</f>
        <v>2.7</v>
      </c>
      <c r="Q64" s="21"/>
      <c r="R64" s="21"/>
    </row>
    <row r="65" spans="1:18" x14ac:dyDescent="0.2">
      <c r="A65" s="23" t="s">
        <v>5</v>
      </c>
      <c r="B65" s="23">
        <v>12</v>
      </c>
      <c r="C65" s="23">
        <v>1</v>
      </c>
      <c r="D65" s="23" t="s">
        <v>40</v>
      </c>
      <c r="E65" s="23">
        <v>60</v>
      </c>
      <c r="F65" s="23">
        <v>1</v>
      </c>
      <c r="G65" s="23">
        <v>1</v>
      </c>
      <c r="H65" s="23">
        <v>43.2</v>
      </c>
      <c r="I65" s="23">
        <f>ROUND($B$6-H65,1)</f>
        <v>206.8</v>
      </c>
      <c r="J65" s="23">
        <f t="shared" si="10"/>
        <v>29.5</v>
      </c>
      <c r="K65" s="23">
        <v>43.7</v>
      </c>
      <c r="L65" s="23">
        <f>ROUND($B$6-K65,1)</f>
        <v>206.3</v>
      </c>
      <c r="M65" s="23">
        <f t="shared" si="11"/>
        <v>29.8</v>
      </c>
      <c r="N65" s="23">
        <f t="shared" si="12"/>
        <v>29.7</v>
      </c>
      <c r="O65" s="23">
        <f t="shared" si="13"/>
        <v>0.2</v>
      </c>
      <c r="P65" s="23">
        <f t="shared" si="14"/>
        <v>2.5</v>
      </c>
      <c r="Q65" s="23"/>
      <c r="R65" s="23"/>
    </row>
    <row r="66" spans="1:18" x14ac:dyDescent="0.2">
      <c r="A66" s="23" t="s">
        <v>5</v>
      </c>
      <c r="B66" s="23">
        <v>12</v>
      </c>
      <c r="C66" s="23">
        <v>1</v>
      </c>
      <c r="D66" s="23" t="s">
        <v>40</v>
      </c>
      <c r="E66" s="23">
        <v>120</v>
      </c>
      <c r="F66" s="23">
        <v>2</v>
      </c>
      <c r="G66" s="23">
        <v>1</v>
      </c>
      <c r="H66" s="23">
        <v>36.700000000000003</v>
      </c>
      <c r="I66" s="23">
        <f>ROUND(I65-H66,1)</f>
        <v>170.1</v>
      </c>
      <c r="J66" s="23">
        <f t="shared" si="10"/>
        <v>25.1</v>
      </c>
      <c r="K66" s="23">
        <v>35.700000000000003</v>
      </c>
      <c r="L66" s="23">
        <f>ROUND(L65-K66,1)</f>
        <v>170.6</v>
      </c>
      <c r="M66" s="23">
        <f t="shared" si="11"/>
        <v>24.4</v>
      </c>
      <c r="N66" s="23">
        <f t="shared" si="12"/>
        <v>24.8</v>
      </c>
      <c r="O66" s="23">
        <f t="shared" si="13"/>
        <v>0.5</v>
      </c>
      <c r="P66" s="23">
        <f t="shared" si="14"/>
        <v>2.1</v>
      </c>
      <c r="Q66" s="23"/>
      <c r="R66" s="23"/>
    </row>
    <row r="67" spans="1:18" x14ac:dyDescent="0.2">
      <c r="A67" s="23" t="s">
        <v>5</v>
      </c>
      <c r="B67" s="23">
        <v>12</v>
      </c>
      <c r="C67" s="23">
        <v>1</v>
      </c>
      <c r="D67" s="23" t="s">
        <v>40</v>
      </c>
      <c r="E67" s="23">
        <v>180</v>
      </c>
      <c r="F67" s="23">
        <v>3</v>
      </c>
      <c r="G67" s="23">
        <v>1</v>
      </c>
      <c r="H67" s="23">
        <v>32.200000000000003</v>
      </c>
      <c r="I67" s="23">
        <f>ROUND(I66-H67,1)</f>
        <v>137.9</v>
      </c>
      <c r="J67" s="23">
        <f t="shared" si="10"/>
        <v>22</v>
      </c>
      <c r="K67" s="23">
        <v>32.700000000000003</v>
      </c>
      <c r="L67" s="23">
        <f>ROUND(L66-K67,1)</f>
        <v>137.9</v>
      </c>
      <c r="M67" s="23">
        <f t="shared" si="11"/>
        <v>22.3</v>
      </c>
      <c r="N67" s="23">
        <f t="shared" si="12"/>
        <v>22.2</v>
      </c>
      <c r="O67" s="23">
        <f t="shared" si="13"/>
        <v>0.2</v>
      </c>
      <c r="P67" s="23">
        <f t="shared" si="14"/>
        <v>1.9</v>
      </c>
      <c r="Q67" s="23"/>
      <c r="R67" s="23"/>
    </row>
    <row r="68" spans="1:18" x14ac:dyDescent="0.2">
      <c r="A68" s="23" t="s">
        <v>5</v>
      </c>
      <c r="B68" s="23">
        <v>12</v>
      </c>
      <c r="C68" s="23">
        <v>1</v>
      </c>
      <c r="D68" s="23" t="s">
        <v>40</v>
      </c>
      <c r="E68" s="23">
        <v>240</v>
      </c>
      <c r="F68" s="23">
        <v>4</v>
      </c>
      <c r="G68" s="23">
        <v>1</v>
      </c>
      <c r="H68" s="23">
        <v>24.5</v>
      </c>
      <c r="I68" s="23">
        <f>ROUND(I67-H68,1)</f>
        <v>113.4</v>
      </c>
      <c r="J68" s="23">
        <f t="shared" si="10"/>
        <v>16.7</v>
      </c>
      <c r="K68" s="23">
        <v>24</v>
      </c>
      <c r="L68" s="23">
        <f>ROUND(L67-K68,1)</f>
        <v>113.9</v>
      </c>
      <c r="M68" s="23">
        <f t="shared" si="11"/>
        <v>16.399999999999999</v>
      </c>
      <c r="N68" s="23">
        <f t="shared" si="12"/>
        <v>16.600000000000001</v>
      </c>
      <c r="O68" s="23">
        <f t="shared" si="13"/>
        <v>0.2</v>
      </c>
      <c r="P68" s="23">
        <f t="shared" si="14"/>
        <v>1.4</v>
      </c>
      <c r="Q68" s="23"/>
      <c r="R68" s="23"/>
    </row>
    <row r="69" spans="1:18" x14ac:dyDescent="0.2">
      <c r="A69" s="23" t="s">
        <v>5</v>
      </c>
      <c r="B69" s="23">
        <v>12</v>
      </c>
      <c r="C69" s="23">
        <v>1</v>
      </c>
      <c r="D69" s="23" t="s">
        <v>40</v>
      </c>
      <c r="E69" s="23">
        <v>300</v>
      </c>
      <c r="F69" s="23">
        <v>5</v>
      </c>
      <c r="G69" s="23">
        <v>1</v>
      </c>
      <c r="H69" s="23">
        <v>21</v>
      </c>
      <c r="I69" s="23">
        <f>ROUND(I68-H69,1)</f>
        <v>92.4</v>
      </c>
      <c r="J69" s="23">
        <f t="shared" si="10"/>
        <v>14.3</v>
      </c>
      <c r="K69" s="23">
        <v>21.7</v>
      </c>
      <c r="L69" s="23">
        <f>ROUND(L68-K69,1)</f>
        <v>92.2</v>
      </c>
      <c r="M69" s="23">
        <f t="shared" si="11"/>
        <v>14.8</v>
      </c>
      <c r="N69" s="23">
        <f t="shared" si="12"/>
        <v>14.6</v>
      </c>
      <c r="O69" s="23">
        <f t="shared" si="13"/>
        <v>0.4</v>
      </c>
      <c r="P69" s="23">
        <f t="shared" si="14"/>
        <v>1.2</v>
      </c>
      <c r="Q69" s="23"/>
      <c r="R69" s="23"/>
    </row>
    <row r="70" spans="1:18" x14ac:dyDescent="0.2">
      <c r="A70" s="25" t="s">
        <v>5</v>
      </c>
      <c r="B70" s="25">
        <v>12</v>
      </c>
      <c r="C70" s="25">
        <v>1</v>
      </c>
      <c r="D70" s="25" t="s">
        <v>55</v>
      </c>
      <c r="E70" s="25">
        <v>60</v>
      </c>
      <c r="F70" s="25">
        <v>1</v>
      </c>
      <c r="G70" s="25">
        <v>1</v>
      </c>
      <c r="H70" s="25">
        <v>41.1</v>
      </c>
      <c r="I70" s="25">
        <f>ROUND($B$6-H70,1)</f>
        <v>208.9</v>
      </c>
      <c r="J70" s="25">
        <f t="shared" si="10"/>
        <v>28.1</v>
      </c>
      <c r="K70" s="25">
        <v>40.200000000000003</v>
      </c>
      <c r="L70" s="25">
        <f>ROUND($B$6-K70,1)</f>
        <v>209.8</v>
      </c>
      <c r="M70" s="25">
        <f t="shared" si="11"/>
        <v>27.5</v>
      </c>
      <c r="N70" s="25">
        <f t="shared" si="12"/>
        <v>27.8</v>
      </c>
      <c r="O70" s="25">
        <f t="shared" si="13"/>
        <v>0.4</v>
      </c>
      <c r="P70" s="25">
        <f t="shared" si="14"/>
        <v>2.2999999999999998</v>
      </c>
      <c r="Q70" s="25">
        <f>ROUND(N70/N64*100,1)</f>
        <v>85</v>
      </c>
      <c r="R70" s="25">
        <f>ROUND(STDEV(J70/J64*100,M70/M64*100),1)</f>
        <v>0.4</v>
      </c>
    </row>
    <row r="71" spans="1:18" x14ac:dyDescent="0.2">
      <c r="A71" s="25" t="s">
        <v>5</v>
      </c>
      <c r="B71" s="25">
        <v>12</v>
      </c>
      <c r="C71" s="25">
        <v>1</v>
      </c>
      <c r="D71" s="25" t="s">
        <v>55</v>
      </c>
      <c r="E71" s="25">
        <v>120</v>
      </c>
      <c r="F71" s="25">
        <v>2</v>
      </c>
      <c r="G71" s="25">
        <v>1</v>
      </c>
      <c r="H71" s="25">
        <v>41.7</v>
      </c>
      <c r="I71" s="25">
        <f>ROUND(I70-H71,1)</f>
        <v>167.2</v>
      </c>
      <c r="J71" s="25">
        <f t="shared" si="10"/>
        <v>28.5</v>
      </c>
      <c r="K71" s="25">
        <v>42.6</v>
      </c>
      <c r="L71" s="25">
        <f>ROUND(L70-K71,1)</f>
        <v>167.2</v>
      </c>
      <c r="M71" s="25">
        <f t="shared" si="11"/>
        <v>29.1</v>
      </c>
      <c r="N71" s="25">
        <f t="shared" si="12"/>
        <v>28.8</v>
      </c>
      <c r="O71" s="25">
        <f t="shared" si="13"/>
        <v>0.4</v>
      </c>
      <c r="P71" s="25">
        <f t="shared" si="14"/>
        <v>2.4</v>
      </c>
      <c r="Q71" s="25">
        <f>ROUND(N71/N64*100,1)</f>
        <v>88.1</v>
      </c>
      <c r="R71" s="25">
        <f>ROUND(STDEV(J71/J64*100,M71/M64*100),1)</f>
        <v>2.2999999999999998</v>
      </c>
    </row>
    <row r="72" spans="1:18" x14ac:dyDescent="0.2">
      <c r="A72" s="21" t="s">
        <v>1</v>
      </c>
      <c r="B72" s="21">
        <v>30</v>
      </c>
      <c r="C72" s="21">
        <v>1</v>
      </c>
      <c r="D72" s="21" t="s">
        <v>39</v>
      </c>
      <c r="E72" s="21">
        <v>300</v>
      </c>
      <c r="F72" s="21">
        <v>5</v>
      </c>
      <c r="G72" s="21">
        <v>1</v>
      </c>
      <c r="H72" s="21">
        <v>48.3</v>
      </c>
      <c r="I72" s="21"/>
      <c r="J72" s="21">
        <f t="shared" si="10"/>
        <v>33</v>
      </c>
      <c r="K72" s="21">
        <v>47.7</v>
      </c>
      <c r="L72" s="21"/>
      <c r="M72" s="21">
        <f t="shared" si="11"/>
        <v>32.6</v>
      </c>
      <c r="N72" s="21">
        <f t="shared" si="12"/>
        <v>32.799999999999997</v>
      </c>
      <c r="O72" s="21">
        <f t="shared" si="13"/>
        <v>0.3</v>
      </c>
      <c r="P72" s="21">
        <f t="shared" si="14"/>
        <v>1.1000000000000001</v>
      </c>
      <c r="Q72" s="21"/>
      <c r="R72" s="21"/>
    </row>
    <row r="73" spans="1:18" x14ac:dyDescent="0.2">
      <c r="A73" s="23" t="s">
        <v>1</v>
      </c>
      <c r="B73" s="23">
        <v>30</v>
      </c>
      <c r="C73" s="23">
        <v>1</v>
      </c>
      <c r="D73" s="23" t="s">
        <v>40</v>
      </c>
      <c r="E73" s="23">
        <v>60</v>
      </c>
      <c r="F73" s="23">
        <v>1</v>
      </c>
      <c r="G73" s="23">
        <v>1</v>
      </c>
      <c r="H73" s="23">
        <v>42.7</v>
      </c>
      <c r="I73" s="23">
        <f>ROUND($B$6-H73,1)</f>
        <v>207.3</v>
      </c>
      <c r="J73" s="23">
        <f t="shared" si="10"/>
        <v>29.2</v>
      </c>
      <c r="K73" s="23">
        <v>43.4</v>
      </c>
      <c r="L73" s="23">
        <f>ROUND($B$6-K73,1)</f>
        <v>206.6</v>
      </c>
      <c r="M73" s="23">
        <f t="shared" si="11"/>
        <v>29.6</v>
      </c>
      <c r="N73" s="23">
        <f t="shared" si="12"/>
        <v>29.4</v>
      </c>
      <c r="O73" s="23">
        <f t="shared" si="13"/>
        <v>0.3</v>
      </c>
      <c r="P73" s="23">
        <f t="shared" si="14"/>
        <v>1</v>
      </c>
      <c r="Q73" s="23"/>
      <c r="R73" s="23"/>
    </row>
    <row r="74" spans="1:18" x14ac:dyDescent="0.2">
      <c r="A74" s="23" t="s">
        <v>1</v>
      </c>
      <c r="B74" s="23">
        <v>30</v>
      </c>
      <c r="C74" s="23">
        <v>1</v>
      </c>
      <c r="D74" s="23" t="s">
        <v>40</v>
      </c>
      <c r="E74" s="23">
        <v>120</v>
      </c>
      <c r="F74" s="23">
        <v>2</v>
      </c>
      <c r="G74" s="23">
        <v>1</v>
      </c>
      <c r="H74" s="23">
        <v>38.299999999999997</v>
      </c>
      <c r="I74" s="23">
        <f>ROUND(I73-H74,1)</f>
        <v>169</v>
      </c>
      <c r="J74" s="23">
        <f t="shared" si="10"/>
        <v>26.2</v>
      </c>
      <c r="K74" s="23">
        <v>37.799999999999997</v>
      </c>
      <c r="L74" s="23">
        <f>ROUND(L73-K74,1)</f>
        <v>168.8</v>
      </c>
      <c r="M74" s="23">
        <f t="shared" si="11"/>
        <v>25.8</v>
      </c>
      <c r="N74" s="23">
        <f t="shared" si="12"/>
        <v>26</v>
      </c>
      <c r="O74" s="23">
        <f t="shared" si="13"/>
        <v>0.3</v>
      </c>
      <c r="P74" s="23">
        <f t="shared" si="14"/>
        <v>0.9</v>
      </c>
      <c r="Q74" s="23"/>
      <c r="R74" s="23"/>
    </row>
    <row r="75" spans="1:18" x14ac:dyDescent="0.2">
      <c r="A75" s="23" t="s">
        <v>1</v>
      </c>
      <c r="B75" s="23">
        <v>30</v>
      </c>
      <c r="C75" s="23">
        <v>1</v>
      </c>
      <c r="D75" s="23" t="s">
        <v>40</v>
      </c>
      <c r="E75" s="23">
        <v>180</v>
      </c>
      <c r="F75" s="23">
        <v>3</v>
      </c>
      <c r="G75" s="23">
        <v>1</v>
      </c>
      <c r="H75" s="23">
        <v>34.799999999999997</v>
      </c>
      <c r="I75" s="23">
        <f>ROUND(I74-H75,1)</f>
        <v>134.19999999999999</v>
      </c>
      <c r="J75" s="23">
        <f t="shared" si="10"/>
        <v>23.8</v>
      </c>
      <c r="K75" s="23">
        <v>35.799999999999997</v>
      </c>
      <c r="L75" s="23">
        <f>ROUND(L74-K75,1)</f>
        <v>133</v>
      </c>
      <c r="M75" s="23">
        <f t="shared" si="11"/>
        <v>24.5</v>
      </c>
      <c r="N75" s="23">
        <f t="shared" si="12"/>
        <v>24.2</v>
      </c>
      <c r="O75" s="23">
        <f t="shared" si="13"/>
        <v>0.5</v>
      </c>
      <c r="P75" s="23">
        <f t="shared" si="14"/>
        <v>0.8</v>
      </c>
      <c r="Q75" s="23"/>
      <c r="R75" s="23"/>
    </row>
    <row r="76" spans="1:18" x14ac:dyDescent="0.2">
      <c r="A76" s="23" t="s">
        <v>1</v>
      </c>
      <c r="B76" s="23">
        <v>30</v>
      </c>
      <c r="C76" s="23">
        <v>1</v>
      </c>
      <c r="D76" s="23" t="s">
        <v>40</v>
      </c>
      <c r="E76" s="23">
        <v>240</v>
      </c>
      <c r="F76" s="23">
        <v>4</v>
      </c>
      <c r="G76" s="23">
        <v>1</v>
      </c>
      <c r="H76" s="23">
        <v>30.2</v>
      </c>
      <c r="I76" s="23">
        <f>ROUND(I75-H76,1)</f>
        <v>104</v>
      </c>
      <c r="J76" s="23">
        <f t="shared" si="10"/>
        <v>20.6</v>
      </c>
      <c r="K76" s="23">
        <v>29.8</v>
      </c>
      <c r="L76" s="23">
        <f>ROUND(L75-K76,1)</f>
        <v>103.2</v>
      </c>
      <c r="M76" s="23">
        <f t="shared" si="11"/>
        <v>20.399999999999999</v>
      </c>
      <c r="N76" s="23">
        <f t="shared" si="12"/>
        <v>20.5</v>
      </c>
      <c r="O76" s="23">
        <f t="shared" si="13"/>
        <v>0.1</v>
      </c>
      <c r="P76" s="23">
        <f t="shared" si="14"/>
        <v>0.7</v>
      </c>
      <c r="Q76" s="23"/>
      <c r="R76" s="23"/>
    </row>
    <row r="77" spans="1:18" x14ac:dyDescent="0.2">
      <c r="A77" s="23" t="s">
        <v>1</v>
      </c>
      <c r="B77" s="23">
        <v>30</v>
      </c>
      <c r="C77" s="23">
        <v>1</v>
      </c>
      <c r="D77" s="23" t="s">
        <v>40</v>
      </c>
      <c r="E77" s="23">
        <v>300</v>
      </c>
      <c r="F77" s="23">
        <v>5</v>
      </c>
      <c r="G77" s="23">
        <v>1</v>
      </c>
      <c r="H77" s="23">
        <v>27</v>
      </c>
      <c r="I77" s="23">
        <f>ROUND(I76-H77,1)</f>
        <v>77</v>
      </c>
      <c r="J77" s="23">
        <f t="shared" si="10"/>
        <v>18.399999999999999</v>
      </c>
      <c r="K77" s="23">
        <v>27.6</v>
      </c>
      <c r="L77" s="23">
        <f>ROUND(L76-K77,1)</f>
        <v>75.599999999999994</v>
      </c>
      <c r="M77" s="23">
        <f t="shared" si="11"/>
        <v>18.899999999999999</v>
      </c>
      <c r="N77" s="23">
        <f t="shared" si="12"/>
        <v>18.7</v>
      </c>
      <c r="O77" s="23">
        <f t="shared" si="13"/>
        <v>0.4</v>
      </c>
      <c r="P77" s="23">
        <f t="shared" si="14"/>
        <v>0.6</v>
      </c>
      <c r="Q77" s="23"/>
      <c r="R77" s="23"/>
    </row>
    <row r="78" spans="1:18" x14ac:dyDescent="0.2">
      <c r="A78" s="25" t="s">
        <v>1</v>
      </c>
      <c r="B78" s="25">
        <v>30</v>
      </c>
      <c r="C78" s="25">
        <v>1</v>
      </c>
      <c r="D78" s="25" t="s">
        <v>55</v>
      </c>
      <c r="E78" s="25">
        <v>60</v>
      </c>
      <c r="F78" s="25">
        <v>1</v>
      </c>
      <c r="G78" s="25">
        <v>1</v>
      </c>
      <c r="H78" s="25">
        <v>42.1</v>
      </c>
      <c r="I78" s="25">
        <f>ROUND($B$6-H78,1)</f>
        <v>207.9</v>
      </c>
      <c r="J78" s="25">
        <f t="shared" si="10"/>
        <v>28.8</v>
      </c>
      <c r="K78" s="25">
        <v>41.4</v>
      </c>
      <c r="L78" s="25">
        <f>ROUND($B$6-K78,1)</f>
        <v>208.6</v>
      </c>
      <c r="M78" s="25">
        <f t="shared" si="11"/>
        <v>28.3</v>
      </c>
      <c r="N78" s="25">
        <f t="shared" si="12"/>
        <v>28.6</v>
      </c>
      <c r="O78" s="25">
        <f t="shared" si="13"/>
        <v>0.4</v>
      </c>
      <c r="P78" s="25">
        <f t="shared" si="14"/>
        <v>1</v>
      </c>
      <c r="Q78" s="25">
        <f>ROUND(N78/N72*100,1)</f>
        <v>87.2</v>
      </c>
      <c r="R78" s="25">
        <f>ROUND(STDEV(J78/J72*100,M78/M72*100),1)</f>
        <v>0.3</v>
      </c>
    </row>
    <row r="79" spans="1:18" x14ac:dyDescent="0.2">
      <c r="A79" s="25" t="s">
        <v>1</v>
      </c>
      <c r="B79" s="25">
        <v>30</v>
      </c>
      <c r="C79" s="25">
        <v>1</v>
      </c>
      <c r="D79" s="25" t="s">
        <v>55</v>
      </c>
      <c r="E79" s="25">
        <v>120</v>
      </c>
      <c r="F79" s="25">
        <v>2</v>
      </c>
      <c r="G79" s="25">
        <v>1</v>
      </c>
      <c r="H79" s="25">
        <v>42.8</v>
      </c>
      <c r="I79" s="25">
        <f>ROUND(I78-H79,1)</f>
        <v>165.1</v>
      </c>
      <c r="J79" s="25">
        <f t="shared" si="10"/>
        <v>29.2</v>
      </c>
      <c r="K79" s="25">
        <v>43.6</v>
      </c>
      <c r="L79" s="25">
        <f>ROUND(L78-K79,1)</f>
        <v>165</v>
      </c>
      <c r="M79" s="25">
        <f t="shared" si="11"/>
        <v>29.8</v>
      </c>
      <c r="N79" s="25">
        <f t="shared" si="12"/>
        <v>29.5</v>
      </c>
      <c r="O79" s="25">
        <f t="shared" si="13"/>
        <v>0.4</v>
      </c>
      <c r="P79" s="25">
        <f t="shared" si="14"/>
        <v>1</v>
      </c>
      <c r="Q79" s="25">
        <f>ROUND(N79/N72*100,1)</f>
        <v>89.9</v>
      </c>
      <c r="R79" s="25">
        <f>ROUND(STDEV(J79/J72*100,M79/M72*100),1)</f>
        <v>2.1</v>
      </c>
    </row>
    <row r="80" spans="1:18" x14ac:dyDescent="0.2">
      <c r="A80" s="21" t="s">
        <v>0</v>
      </c>
      <c r="B80" s="21">
        <v>30</v>
      </c>
      <c r="C80" s="21">
        <v>1</v>
      </c>
      <c r="D80" s="21" t="s">
        <v>39</v>
      </c>
      <c r="E80" s="21">
        <v>300</v>
      </c>
      <c r="F80" s="21">
        <v>5</v>
      </c>
      <c r="G80" s="21">
        <v>1</v>
      </c>
      <c r="H80" s="21">
        <v>48.7</v>
      </c>
      <c r="I80" s="21"/>
      <c r="J80" s="21">
        <f t="shared" si="10"/>
        <v>33.299999999999997</v>
      </c>
      <c r="K80" s="21">
        <v>47.7</v>
      </c>
      <c r="L80" s="21"/>
      <c r="M80" s="21">
        <f t="shared" si="11"/>
        <v>32.6</v>
      </c>
      <c r="N80" s="21">
        <f t="shared" si="12"/>
        <v>33</v>
      </c>
      <c r="O80" s="21">
        <f t="shared" si="13"/>
        <v>0.5</v>
      </c>
      <c r="P80" s="21">
        <f t="shared" si="14"/>
        <v>1.1000000000000001</v>
      </c>
      <c r="Q80" s="21"/>
      <c r="R80" s="21"/>
    </row>
    <row r="81" spans="1:18" x14ac:dyDescent="0.2">
      <c r="A81" s="23" t="s">
        <v>0</v>
      </c>
      <c r="B81" s="23">
        <v>30</v>
      </c>
      <c r="C81" s="23">
        <v>1</v>
      </c>
      <c r="D81" s="23" t="s">
        <v>40</v>
      </c>
      <c r="E81" s="23">
        <v>60</v>
      </c>
      <c r="F81" s="23">
        <v>1</v>
      </c>
      <c r="G81" s="23">
        <v>1</v>
      </c>
      <c r="H81" s="23">
        <v>43.5</v>
      </c>
      <c r="I81" s="23">
        <f>ROUND($B$6-H81,1)</f>
        <v>206.5</v>
      </c>
      <c r="J81" s="23">
        <f t="shared" si="10"/>
        <v>29.7</v>
      </c>
      <c r="K81" s="23">
        <v>44.1</v>
      </c>
      <c r="L81" s="23">
        <f>ROUND($B$6-K81,1)</f>
        <v>205.9</v>
      </c>
      <c r="M81" s="23">
        <f t="shared" si="11"/>
        <v>30.1</v>
      </c>
      <c r="N81" s="23">
        <f t="shared" si="12"/>
        <v>29.9</v>
      </c>
      <c r="O81" s="23">
        <f t="shared" si="13"/>
        <v>0.3</v>
      </c>
      <c r="P81" s="23">
        <f t="shared" si="14"/>
        <v>1</v>
      </c>
      <c r="Q81" s="23"/>
      <c r="R81" s="23"/>
    </row>
    <row r="82" spans="1:18" x14ac:dyDescent="0.2">
      <c r="A82" s="23" t="s">
        <v>0</v>
      </c>
      <c r="B82" s="23">
        <v>30</v>
      </c>
      <c r="C82" s="23">
        <v>1</v>
      </c>
      <c r="D82" s="23" t="s">
        <v>40</v>
      </c>
      <c r="E82" s="23">
        <v>120</v>
      </c>
      <c r="F82" s="23">
        <v>2</v>
      </c>
      <c r="G82" s="23">
        <v>1</v>
      </c>
      <c r="H82" s="23">
        <v>40.799999999999997</v>
      </c>
      <c r="I82" s="23">
        <f>ROUND(I81-H82,1)</f>
        <v>165.7</v>
      </c>
      <c r="J82" s="23">
        <f t="shared" si="10"/>
        <v>27.9</v>
      </c>
      <c r="K82" s="23">
        <v>40.1</v>
      </c>
      <c r="L82" s="23">
        <f>ROUND(L81-K82,1)</f>
        <v>165.8</v>
      </c>
      <c r="M82" s="23">
        <f t="shared" si="11"/>
        <v>27.4</v>
      </c>
      <c r="N82" s="23">
        <f t="shared" si="12"/>
        <v>27.7</v>
      </c>
      <c r="O82" s="23">
        <f t="shared" si="13"/>
        <v>0.4</v>
      </c>
      <c r="P82" s="23">
        <f t="shared" si="14"/>
        <v>0.9</v>
      </c>
      <c r="Q82" s="23"/>
      <c r="R82" s="23"/>
    </row>
    <row r="83" spans="1:18" x14ac:dyDescent="0.2">
      <c r="A83" s="23" t="s">
        <v>0</v>
      </c>
      <c r="B83" s="23">
        <v>30</v>
      </c>
      <c r="C83" s="23">
        <v>1</v>
      </c>
      <c r="D83" s="23" t="s">
        <v>40</v>
      </c>
      <c r="E83" s="23">
        <v>180</v>
      </c>
      <c r="F83" s="23">
        <v>3</v>
      </c>
      <c r="G83" s="23">
        <v>1</v>
      </c>
      <c r="H83" s="23">
        <v>35.6</v>
      </c>
      <c r="I83" s="23">
        <f>ROUND(I82-H83,1)</f>
        <v>130.1</v>
      </c>
      <c r="J83" s="23">
        <f t="shared" si="10"/>
        <v>24.3</v>
      </c>
      <c r="K83" s="23">
        <v>36.1</v>
      </c>
      <c r="L83" s="23">
        <f>ROUND(L82-K83,1)</f>
        <v>129.69999999999999</v>
      </c>
      <c r="M83" s="23">
        <f t="shared" si="11"/>
        <v>24.7</v>
      </c>
      <c r="N83" s="23">
        <f t="shared" si="12"/>
        <v>24.5</v>
      </c>
      <c r="O83" s="23">
        <f t="shared" si="13"/>
        <v>0.3</v>
      </c>
      <c r="P83" s="23">
        <f t="shared" si="14"/>
        <v>0.8</v>
      </c>
      <c r="Q83" s="23"/>
      <c r="R83" s="23"/>
    </row>
    <row r="84" spans="1:18" x14ac:dyDescent="0.2">
      <c r="A84" s="23" t="s">
        <v>0</v>
      </c>
      <c r="B84" s="23">
        <v>30</v>
      </c>
      <c r="C84" s="23">
        <v>1</v>
      </c>
      <c r="D84" s="23" t="s">
        <v>40</v>
      </c>
      <c r="E84" s="23">
        <v>240</v>
      </c>
      <c r="F84" s="23">
        <v>4</v>
      </c>
      <c r="G84" s="23">
        <v>1</v>
      </c>
      <c r="H84" s="23">
        <v>34.4</v>
      </c>
      <c r="I84" s="23">
        <f>ROUND(I83-H84,1)</f>
        <v>95.7</v>
      </c>
      <c r="J84" s="23">
        <f t="shared" si="10"/>
        <v>23.5</v>
      </c>
      <c r="K84" s="23">
        <v>33.4</v>
      </c>
      <c r="L84" s="23">
        <f>ROUND(L83-K84,1)</f>
        <v>96.3</v>
      </c>
      <c r="M84" s="23">
        <f t="shared" si="11"/>
        <v>22.8</v>
      </c>
      <c r="N84" s="23">
        <f t="shared" si="12"/>
        <v>23.2</v>
      </c>
      <c r="O84" s="23">
        <f t="shared" si="13"/>
        <v>0.5</v>
      </c>
      <c r="P84" s="23">
        <f t="shared" si="14"/>
        <v>0.8</v>
      </c>
      <c r="Q84" s="23"/>
      <c r="R84" s="23"/>
    </row>
    <row r="85" spans="1:18" x14ac:dyDescent="0.2">
      <c r="A85" s="23" t="s">
        <v>0</v>
      </c>
      <c r="B85" s="23">
        <v>30</v>
      </c>
      <c r="C85" s="23">
        <v>1</v>
      </c>
      <c r="D85" s="23" t="s">
        <v>40</v>
      </c>
      <c r="E85" s="23">
        <v>300</v>
      </c>
      <c r="F85" s="23">
        <v>5</v>
      </c>
      <c r="G85" s="23">
        <v>1</v>
      </c>
      <c r="H85" s="23">
        <v>31.8</v>
      </c>
      <c r="I85" s="23">
        <f>ROUND(I84-H85,1)</f>
        <v>63.9</v>
      </c>
      <c r="J85" s="23">
        <f t="shared" si="10"/>
        <v>21.7</v>
      </c>
      <c r="K85" s="23">
        <v>32.200000000000003</v>
      </c>
      <c r="L85" s="23">
        <f>ROUND(L84-K85,1)</f>
        <v>64.099999999999994</v>
      </c>
      <c r="M85" s="23">
        <f t="shared" si="11"/>
        <v>22</v>
      </c>
      <c r="N85" s="23">
        <f t="shared" si="12"/>
        <v>21.9</v>
      </c>
      <c r="O85" s="23">
        <f t="shared" si="13"/>
        <v>0.2</v>
      </c>
      <c r="P85" s="23">
        <f t="shared" si="14"/>
        <v>0.7</v>
      </c>
      <c r="Q85" s="23"/>
      <c r="R85" s="23"/>
    </row>
    <row r="86" spans="1:18" x14ac:dyDescent="0.2">
      <c r="A86" s="25" t="s">
        <v>0</v>
      </c>
      <c r="B86" s="25">
        <v>30</v>
      </c>
      <c r="C86" s="25">
        <v>1</v>
      </c>
      <c r="D86" s="25" t="s">
        <v>55</v>
      </c>
      <c r="E86" s="25">
        <v>60</v>
      </c>
      <c r="F86" s="25">
        <v>1</v>
      </c>
      <c r="G86" s="25">
        <v>1</v>
      </c>
      <c r="H86" s="25">
        <v>47.8</v>
      </c>
      <c r="I86" s="25">
        <f>ROUND($B$6-H86,1)</f>
        <v>202.2</v>
      </c>
      <c r="J86" s="25">
        <f t="shared" si="10"/>
        <v>32.700000000000003</v>
      </c>
      <c r="K86" s="25">
        <v>47.2</v>
      </c>
      <c r="L86" s="25">
        <f>ROUND($B$6-K86,1)</f>
        <v>202.8</v>
      </c>
      <c r="M86" s="25">
        <f t="shared" si="11"/>
        <v>32.200000000000003</v>
      </c>
      <c r="N86" s="25">
        <f t="shared" si="12"/>
        <v>32.5</v>
      </c>
      <c r="O86" s="25">
        <f t="shared" si="13"/>
        <v>0.4</v>
      </c>
      <c r="P86" s="25">
        <f t="shared" si="14"/>
        <v>1.1000000000000001</v>
      </c>
      <c r="Q86" s="25">
        <f>ROUND(N86/N80*100,1)</f>
        <v>98.5</v>
      </c>
      <c r="R86" s="25">
        <f>ROUND(STDEV(J86/J80*100,M86/M80*100),1)</f>
        <v>0.4</v>
      </c>
    </row>
    <row r="87" spans="1:18" x14ac:dyDescent="0.2">
      <c r="A87" s="25" t="s">
        <v>0</v>
      </c>
      <c r="B87" s="25">
        <v>30</v>
      </c>
      <c r="C87" s="25">
        <v>1</v>
      </c>
      <c r="D87" s="25" t="s">
        <v>55</v>
      </c>
      <c r="E87" s="25">
        <v>120</v>
      </c>
      <c r="F87" s="25">
        <v>2</v>
      </c>
      <c r="G87" s="25">
        <v>1</v>
      </c>
      <c r="H87" s="25">
        <v>47.8</v>
      </c>
      <c r="I87" s="25">
        <f>ROUND(I86-H87,1)</f>
        <v>154.4</v>
      </c>
      <c r="J87" s="25">
        <f t="shared" si="10"/>
        <v>32.700000000000003</v>
      </c>
      <c r="K87" s="25">
        <v>48.5</v>
      </c>
      <c r="L87" s="25">
        <f>ROUND(L86-K87,1)</f>
        <v>154.30000000000001</v>
      </c>
      <c r="M87" s="25">
        <f t="shared" si="11"/>
        <v>33.1</v>
      </c>
      <c r="N87" s="25">
        <f t="shared" si="12"/>
        <v>32.9</v>
      </c>
      <c r="O87" s="25">
        <f t="shared" si="13"/>
        <v>0.3</v>
      </c>
      <c r="P87" s="25">
        <f t="shared" si="14"/>
        <v>1.1000000000000001</v>
      </c>
      <c r="Q87" s="25">
        <f>ROUND(N87/N80*100,1)</f>
        <v>99.7</v>
      </c>
      <c r="R87" s="25">
        <f>ROUND(STDEV(J87/J80*100,M87/M80*100),1)</f>
        <v>2.4</v>
      </c>
    </row>
    <row r="88" spans="1:18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</row>
  </sheetData>
  <mergeCells count="3">
    <mergeCell ref="A62:R62"/>
    <mergeCell ref="A8:R8"/>
    <mergeCell ref="A35:R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3827-7F39-434A-9571-96FBD27C837F}">
  <dimension ref="A1:R89"/>
  <sheetViews>
    <sheetView workbookViewId="0">
      <selection activeCell="H12" sqref="H12"/>
    </sheetView>
  </sheetViews>
  <sheetFormatPr baseColWidth="10" defaultColWidth="8.83203125" defaultRowHeight="16" x14ac:dyDescent="0.2"/>
  <cols>
    <col min="1" max="1" width="14" style="17" customWidth="1"/>
    <col min="2" max="2" width="13" style="17" customWidth="1"/>
    <col min="3" max="3" width="12" style="17" customWidth="1"/>
    <col min="4" max="4" width="23" style="17" customWidth="1"/>
    <col min="5" max="5" width="11" style="17" customWidth="1"/>
    <col min="6" max="6" width="8" style="17" customWidth="1"/>
    <col min="7" max="7" width="9" style="17" customWidth="1"/>
    <col min="8" max="8" width="19" style="17" customWidth="1"/>
    <col min="9" max="9" width="20" style="17" customWidth="1"/>
    <col min="10" max="10" width="15" style="17" customWidth="1"/>
    <col min="11" max="11" width="19" style="17" customWidth="1"/>
    <col min="12" max="12" width="20" style="17" customWidth="1"/>
    <col min="13" max="13" width="15" style="17" customWidth="1"/>
    <col min="14" max="14" width="16" style="17" customWidth="1"/>
    <col min="15" max="15" width="13" style="17" customWidth="1"/>
    <col min="16" max="16" width="19" style="17" customWidth="1"/>
    <col min="17" max="17" width="14" style="17" customWidth="1"/>
    <col min="18" max="18" width="16" style="17" customWidth="1"/>
    <col min="19" max="16384" width="8.83203125" style="17"/>
  </cols>
  <sheetData>
    <row r="1" spans="1:18" x14ac:dyDescent="0.2">
      <c r="A1" s="32" t="s">
        <v>17</v>
      </c>
      <c r="B1" s="32" t="s">
        <v>18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2">
      <c r="A2" s="19" t="s">
        <v>21</v>
      </c>
      <c r="B2" s="18">
        <v>1.464E-3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x14ac:dyDescent="0.2">
      <c r="A3" s="19" t="s">
        <v>49</v>
      </c>
      <c r="B3" s="19">
        <v>12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x14ac:dyDescent="0.2">
      <c r="A4" s="19" t="s">
        <v>50</v>
      </c>
      <c r="B4" s="19">
        <v>30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x14ac:dyDescent="0.2">
      <c r="A5" s="19" t="s">
        <v>51</v>
      </c>
      <c r="B5" s="19">
        <v>2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 t="s">
        <v>22</v>
      </c>
      <c r="B6" s="19">
        <v>250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x14ac:dyDescent="0.2">
      <c r="A8" s="34" t="s">
        <v>61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</row>
    <row r="9" spans="1:18" ht="34" x14ac:dyDescent="0.2">
      <c r="A9" s="33" t="s">
        <v>19</v>
      </c>
      <c r="B9" s="33" t="s">
        <v>26</v>
      </c>
      <c r="C9" s="33" t="s">
        <v>53</v>
      </c>
      <c r="D9" s="33" t="s">
        <v>27</v>
      </c>
      <c r="E9" s="33" t="s">
        <v>28</v>
      </c>
      <c r="F9" s="33" t="s">
        <v>4</v>
      </c>
      <c r="G9" s="33" t="s">
        <v>29</v>
      </c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 t="s">
        <v>35</v>
      </c>
      <c r="N9" s="33" t="s">
        <v>36</v>
      </c>
      <c r="O9" s="33" t="s">
        <v>37</v>
      </c>
      <c r="P9" s="33" t="s">
        <v>38</v>
      </c>
      <c r="Q9" s="33" t="s">
        <v>54</v>
      </c>
      <c r="R9" s="33" t="s">
        <v>44</v>
      </c>
    </row>
    <row r="10" spans="1:18" x14ac:dyDescent="0.2">
      <c r="A10" s="21" t="s">
        <v>5</v>
      </c>
      <c r="B10" s="21">
        <v>12</v>
      </c>
      <c r="C10" s="21">
        <v>2</v>
      </c>
      <c r="D10" s="21" t="s">
        <v>39</v>
      </c>
      <c r="E10" s="21">
        <v>300</v>
      </c>
      <c r="F10" s="21">
        <v>5</v>
      </c>
      <c r="G10" s="21">
        <v>1</v>
      </c>
      <c r="H10" s="21">
        <v>47.4</v>
      </c>
      <c r="I10" s="21"/>
      <c r="J10" s="21">
        <f t="shared" ref="J10:J33" si="0">ROUND(H10/1000/$B$2/G10,1)</f>
        <v>32.4</v>
      </c>
      <c r="K10" s="21">
        <v>48.1</v>
      </c>
      <c r="L10" s="21"/>
      <c r="M10" s="21">
        <f t="shared" ref="M10:M33" si="1">ROUND(K10/1000/$B$2/G10,1)</f>
        <v>32.9</v>
      </c>
      <c r="N10" s="21">
        <f t="shared" ref="N10:N33" si="2">ROUND(AVERAGE(J10,M10),1)</f>
        <v>32.700000000000003</v>
      </c>
      <c r="O10" s="21">
        <f t="shared" ref="O10:O33" si="3">ROUND(STDEV(J10,M10),1)</f>
        <v>0.4</v>
      </c>
      <c r="P10" s="21">
        <f t="shared" ref="P10:P33" si="4">ROUND(N10/B10,1)</f>
        <v>2.7</v>
      </c>
      <c r="Q10" s="21"/>
      <c r="R10" s="21"/>
    </row>
    <row r="11" spans="1:18" x14ac:dyDescent="0.2">
      <c r="A11" s="23" t="s">
        <v>5</v>
      </c>
      <c r="B11" s="23">
        <v>12</v>
      </c>
      <c r="C11" s="23">
        <v>2</v>
      </c>
      <c r="D11" s="23" t="s">
        <v>40</v>
      </c>
      <c r="E11" s="23">
        <v>60</v>
      </c>
      <c r="F11" s="23">
        <v>1</v>
      </c>
      <c r="G11" s="23">
        <v>1</v>
      </c>
      <c r="H11" s="23">
        <v>43.9</v>
      </c>
      <c r="I11" s="23">
        <f>ROUND($B$6-H11,1)</f>
        <v>206.1</v>
      </c>
      <c r="J11" s="23">
        <f t="shared" si="0"/>
        <v>30</v>
      </c>
      <c r="K11" s="23">
        <v>43.1</v>
      </c>
      <c r="L11" s="23">
        <f>ROUND($B$6-K11,1)</f>
        <v>206.9</v>
      </c>
      <c r="M11" s="23">
        <f t="shared" si="1"/>
        <v>29.4</v>
      </c>
      <c r="N11" s="23">
        <f t="shared" si="2"/>
        <v>29.7</v>
      </c>
      <c r="O11" s="23">
        <f t="shared" si="3"/>
        <v>0.4</v>
      </c>
      <c r="P11" s="23">
        <f t="shared" si="4"/>
        <v>2.5</v>
      </c>
      <c r="Q11" s="23"/>
      <c r="R11" s="23"/>
    </row>
    <row r="12" spans="1:18" x14ac:dyDescent="0.2">
      <c r="A12" s="23" t="s">
        <v>5</v>
      </c>
      <c r="B12" s="23">
        <v>12</v>
      </c>
      <c r="C12" s="23">
        <v>2</v>
      </c>
      <c r="D12" s="23" t="s">
        <v>40</v>
      </c>
      <c r="E12" s="23">
        <v>120</v>
      </c>
      <c r="F12" s="23">
        <v>2</v>
      </c>
      <c r="G12" s="23">
        <v>1</v>
      </c>
      <c r="H12" s="23">
        <v>33.6</v>
      </c>
      <c r="I12" s="23">
        <f>ROUND(I11-H12,1)</f>
        <v>172.5</v>
      </c>
      <c r="J12" s="23">
        <f t="shared" si="0"/>
        <v>23</v>
      </c>
      <c r="K12" s="23">
        <v>34.6</v>
      </c>
      <c r="L12" s="23">
        <f>ROUND(L11-K12,1)</f>
        <v>172.3</v>
      </c>
      <c r="M12" s="23">
        <f t="shared" si="1"/>
        <v>23.6</v>
      </c>
      <c r="N12" s="23">
        <f t="shared" si="2"/>
        <v>23.3</v>
      </c>
      <c r="O12" s="23">
        <f t="shared" si="3"/>
        <v>0.4</v>
      </c>
      <c r="P12" s="23">
        <f t="shared" si="4"/>
        <v>1.9</v>
      </c>
      <c r="Q12" s="23"/>
      <c r="R12" s="23"/>
    </row>
    <row r="13" spans="1:18" x14ac:dyDescent="0.2">
      <c r="A13" s="23" t="s">
        <v>5</v>
      </c>
      <c r="B13" s="23">
        <v>12</v>
      </c>
      <c r="C13" s="23">
        <v>2</v>
      </c>
      <c r="D13" s="23" t="s">
        <v>40</v>
      </c>
      <c r="E13" s="23">
        <v>180</v>
      </c>
      <c r="F13" s="23">
        <v>3</v>
      </c>
      <c r="G13" s="23">
        <v>1</v>
      </c>
      <c r="H13" s="23">
        <v>29.6</v>
      </c>
      <c r="I13" s="23">
        <f>ROUND(I12-H13,1)</f>
        <v>142.9</v>
      </c>
      <c r="J13" s="23">
        <f t="shared" si="0"/>
        <v>20.2</v>
      </c>
      <c r="K13" s="23">
        <v>28.9</v>
      </c>
      <c r="L13" s="23">
        <f>ROUND(L12-K13,1)</f>
        <v>143.4</v>
      </c>
      <c r="M13" s="23">
        <f t="shared" si="1"/>
        <v>19.7</v>
      </c>
      <c r="N13" s="23">
        <f t="shared" si="2"/>
        <v>20</v>
      </c>
      <c r="O13" s="23">
        <f t="shared" si="3"/>
        <v>0.4</v>
      </c>
      <c r="P13" s="23">
        <f t="shared" si="4"/>
        <v>1.7</v>
      </c>
      <c r="Q13" s="23"/>
      <c r="R13" s="23"/>
    </row>
    <row r="14" spans="1:18" x14ac:dyDescent="0.2">
      <c r="A14" s="23" t="s">
        <v>5</v>
      </c>
      <c r="B14" s="23">
        <v>12</v>
      </c>
      <c r="C14" s="23">
        <v>2</v>
      </c>
      <c r="D14" s="23" t="s">
        <v>40</v>
      </c>
      <c r="E14" s="23">
        <v>240</v>
      </c>
      <c r="F14" s="23">
        <v>4</v>
      </c>
      <c r="G14" s="23">
        <v>1</v>
      </c>
      <c r="H14" s="23">
        <v>18.3</v>
      </c>
      <c r="I14" s="23">
        <f>ROUND(I13-H14,1)</f>
        <v>124.6</v>
      </c>
      <c r="J14" s="23">
        <f t="shared" si="0"/>
        <v>12.5</v>
      </c>
      <c r="K14" s="23">
        <v>19.100000000000001</v>
      </c>
      <c r="L14" s="23">
        <f>ROUND(L13-K14,1)</f>
        <v>124.3</v>
      </c>
      <c r="M14" s="23">
        <f t="shared" si="1"/>
        <v>13</v>
      </c>
      <c r="N14" s="23">
        <f t="shared" si="2"/>
        <v>12.8</v>
      </c>
      <c r="O14" s="23">
        <f t="shared" si="3"/>
        <v>0.4</v>
      </c>
      <c r="P14" s="23">
        <f t="shared" si="4"/>
        <v>1.1000000000000001</v>
      </c>
      <c r="Q14" s="23"/>
      <c r="R14" s="23"/>
    </row>
    <row r="15" spans="1:18" x14ac:dyDescent="0.2">
      <c r="A15" s="23" t="s">
        <v>5</v>
      </c>
      <c r="B15" s="23">
        <v>12</v>
      </c>
      <c r="C15" s="23">
        <v>2</v>
      </c>
      <c r="D15" s="23" t="s">
        <v>40</v>
      </c>
      <c r="E15" s="23">
        <v>300</v>
      </c>
      <c r="F15" s="23">
        <v>5</v>
      </c>
      <c r="G15" s="23">
        <v>1</v>
      </c>
      <c r="H15" s="23">
        <v>15.3</v>
      </c>
      <c r="I15" s="23">
        <f>ROUND(I14-H15,1)</f>
        <v>109.3</v>
      </c>
      <c r="J15" s="23">
        <f t="shared" si="0"/>
        <v>10.5</v>
      </c>
      <c r="K15" s="23">
        <v>14.8</v>
      </c>
      <c r="L15" s="23">
        <f>ROUND(L14-K15,1)</f>
        <v>109.5</v>
      </c>
      <c r="M15" s="23">
        <f t="shared" si="1"/>
        <v>10.1</v>
      </c>
      <c r="N15" s="23">
        <f t="shared" si="2"/>
        <v>10.3</v>
      </c>
      <c r="O15" s="23">
        <f t="shared" si="3"/>
        <v>0.3</v>
      </c>
      <c r="P15" s="23">
        <f t="shared" si="4"/>
        <v>0.9</v>
      </c>
      <c r="Q15" s="23"/>
      <c r="R15" s="23"/>
    </row>
    <row r="16" spans="1:18" x14ac:dyDescent="0.2">
      <c r="A16" s="25" t="s">
        <v>5</v>
      </c>
      <c r="B16" s="25">
        <v>12</v>
      </c>
      <c r="C16" s="25">
        <v>2</v>
      </c>
      <c r="D16" s="25" t="s">
        <v>55</v>
      </c>
      <c r="E16" s="25">
        <v>60</v>
      </c>
      <c r="F16" s="25">
        <v>1</v>
      </c>
      <c r="G16" s="25">
        <v>1</v>
      </c>
      <c r="H16" s="25">
        <v>14.7</v>
      </c>
      <c r="I16" s="25">
        <f>ROUND($B$6-H16,1)</f>
        <v>235.3</v>
      </c>
      <c r="J16" s="25">
        <f t="shared" si="0"/>
        <v>10</v>
      </c>
      <c r="K16" s="25">
        <v>15.7</v>
      </c>
      <c r="L16" s="25">
        <f>ROUND($B$6-K16,1)</f>
        <v>234.3</v>
      </c>
      <c r="M16" s="25">
        <f t="shared" si="1"/>
        <v>10.7</v>
      </c>
      <c r="N16" s="25">
        <f t="shared" si="2"/>
        <v>10.4</v>
      </c>
      <c r="O16" s="25">
        <f t="shared" si="3"/>
        <v>0.5</v>
      </c>
      <c r="P16" s="25">
        <f t="shared" si="4"/>
        <v>0.9</v>
      </c>
      <c r="Q16" s="25">
        <f>ROUND(N16/N10*100,1)</f>
        <v>31.8</v>
      </c>
      <c r="R16" s="25">
        <f>ROUND(STDEV(J16/J10*100,M16/M10*100),1)</f>
        <v>1.2</v>
      </c>
    </row>
    <row r="17" spans="1:18" x14ac:dyDescent="0.2">
      <c r="A17" s="25" t="s">
        <v>5</v>
      </c>
      <c r="B17" s="25">
        <v>12</v>
      </c>
      <c r="C17" s="25">
        <v>2</v>
      </c>
      <c r="D17" s="25" t="s">
        <v>55</v>
      </c>
      <c r="E17" s="25">
        <v>120</v>
      </c>
      <c r="F17" s="25">
        <v>2</v>
      </c>
      <c r="G17" s="25">
        <v>1</v>
      </c>
      <c r="H17" s="25">
        <v>16</v>
      </c>
      <c r="I17" s="25">
        <f>ROUND(I16-H17,1)</f>
        <v>219.3</v>
      </c>
      <c r="J17" s="25">
        <f t="shared" si="0"/>
        <v>10.9</v>
      </c>
      <c r="K17" s="25">
        <v>15.5</v>
      </c>
      <c r="L17" s="25">
        <f>ROUND(L16-K17,1)</f>
        <v>218.8</v>
      </c>
      <c r="M17" s="25">
        <f t="shared" si="1"/>
        <v>10.6</v>
      </c>
      <c r="N17" s="25">
        <f t="shared" si="2"/>
        <v>10.8</v>
      </c>
      <c r="O17" s="25">
        <f t="shared" si="3"/>
        <v>0.2</v>
      </c>
      <c r="P17" s="25">
        <f t="shared" si="4"/>
        <v>0.9</v>
      </c>
      <c r="Q17" s="25">
        <f>ROUND(N17/N10*100,1)</f>
        <v>33</v>
      </c>
      <c r="R17" s="25">
        <f>ROUND(STDEV(J17/J10*100,M17/M10*100),1)</f>
        <v>1</v>
      </c>
    </row>
    <row r="18" spans="1:18" x14ac:dyDescent="0.2">
      <c r="A18" s="21" t="s">
        <v>1</v>
      </c>
      <c r="B18" s="21">
        <v>30</v>
      </c>
      <c r="C18" s="21">
        <v>2</v>
      </c>
      <c r="D18" s="21" t="s">
        <v>39</v>
      </c>
      <c r="E18" s="21">
        <v>300</v>
      </c>
      <c r="F18" s="21">
        <v>5</v>
      </c>
      <c r="G18" s="21">
        <v>1</v>
      </c>
      <c r="H18" s="21">
        <v>47.6</v>
      </c>
      <c r="I18" s="21"/>
      <c r="J18" s="21">
        <f t="shared" si="0"/>
        <v>32.5</v>
      </c>
      <c r="K18" s="21">
        <v>48.2</v>
      </c>
      <c r="L18" s="21"/>
      <c r="M18" s="21">
        <f t="shared" si="1"/>
        <v>32.9</v>
      </c>
      <c r="N18" s="21">
        <f t="shared" si="2"/>
        <v>32.700000000000003</v>
      </c>
      <c r="O18" s="21">
        <f t="shared" si="3"/>
        <v>0.3</v>
      </c>
      <c r="P18" s="21">
        <f t="shared" si="4"/>
        <v>1.1000000000000001</v>
      </c>
      <c r="Q18" s="21"/>
      <c r="R18" s="21"/>
    </row>
    <row r="19" spans="1:18" x14ac:dyDescent="0.2">
      <c r="A19" s="23" t="s">
        <v>1</v>
      </c>
      <c r="B19" s="23">
        <v>30</v>
      </c>
      <c r="C19" s="23">
        <v>2</v>
      </c>
      <c r="D19" s="23" t="s">
        <v>40</v>
      </c>
      <c r="E19" s="23">
        <v>60</v>
      </c>
      <c r="F19" s="23">
        <v>1</v>
      </c>
      <c r="G19" s="23">
        <v>1</v>
      </c>
      <c r="H19" s="23">
        <v>43.4</v>
      </c>
      <c r="I19" s="23">
        <f>ROUND($B$6-H19,1)</f>
        <v>206.6</v>
      </c>
      <c r="J19" s="23">
        <f t="shared" si="0"/>
        <v>29.6</v>
      </c>
      <c r="K19" s="23">
        <v>42.7</v>
      </c>
      <c r="L19" s="23">
        <f>ROUND($B$6-K19,1)</f>
        <v>207.3</v>
      </c>
      <c r="M19" s="23">
        <f t="shared" si="1"/>
        <v>29.2</v>
      </c>
      <c r="N19" s="23">
        <f t="shared" si="2"/>
        <v>29.4</v>
      </c>
      <c r="O19" s="23">
        <f t="shared" si="3"/>
        <v>0.3</v>
      </c>
      <c r="P19" s="23">
        <f t="shared" si="4"/>
        <v>1</v>
      </c>
      <c r="Q19" s="23"/>
      <c r="R19" s="23"/>
    </row>
    <row r="20" spans="1:18" x14ac:dyDescent="0.2">
      <c r="A20" s="23" t="s">
        <v>1</v>
      </c>
      <c r="B20" s="23">
        <v>30</v>
      </c>
      <c r="C20" s="23">
        <v>2</v>
      </c>
      <c r="D20" s="23" t="s">
        <v>40</v>
      </c>
      <c r="E20" s="23">
        <v>120</v>
      </c>
      <c r="F20" s="23">
        <v>2</v>
      </c>
      <c r="G20" s="23">
        <v>1</v>
      </c>
      <c r="H20" s="23">
        <v>37.299999999999997</v>
      </c>
      <c r="I20" s="23">
        <f>ROUND(I19-H20,1)</f>
        <v>169.3</v>
      </c>
      <c r="J20" s="23">
        <f t="shared" si="0"/>
        <v>25.5</v>
      </c>
      <c r="K20" s="23">
        <v>38.1</v>
      </c>
      <c r="L20" s="23">
        <f>ROUND(L19-K20,1)</f>
        <v>169.2</v>
      </c>
      <c r="M20" s="23">
        <f t="shared" si="1"/>
        <v>26</v>
      </c>
      <c r="N20" s="23">
        <f t="shared" si="2"/>
        <v>25.8</v>
      </c>
      <c r="O20" s="23">
        <f t="shared" si="3"/>
        <v>0.4</v>
      </c>
      <c r="P20" s="23">
        <f t="shared" si="4"/>
        <v>0.9</v>
      </c>
      <c r="Q20" s="23"/>
      <c r="R20" s="23"/>
    </row>
    <row r="21" spans="1:18" x14ac:dyDescent="0.2">
      <c r="A21" s="23" t="s">
        <v>1</v>
      </c>
      <c r="B21" s="23">
        <v>30</v>
      </c>
      <c r="C21" s="23">
        <v>2</v>
      </c>
      <c r="D21" s="23" t="s">
        <v>40</v>
      </c>
      <c r="E21" s="23">
        <v>180</v>
      </c>
      <c r="F21" s="23">
        <v>3</v>
      </c>
      <c r="G21" s="23">
        <v>1</v>
      </c>
      <c r="H21" s="23">
        <v>35.299999999999997</v>
      </c>
      <c r="I21" s="23">
        <f>ROUND(I20-H21,1)</f>
        <v>134</v>
      </c>
      <c r="J21" s="23">
        <f t="shared" si="0"/>
        <v>24.1</v>
      </c>
      <c r="K21" s="23">
        <v>34.4</v>
      </c>
      <c r="L21" s="23">
        <f>ROUND(L20-K21,1)</f>
        <v>134.80000000000001</v>
      </c>
      <c r="M21" s="23">
        <f t="shared" si="1"/>
        <v>23.5</v>
      </c>
      <c r="N21" s="23">
        <f t="shared" si="2"/>
        <v>23.8</v>
      </c>
      <c r="O21" s="23">
        <f t="shared" si="3"/>
        <v>0.4</v>
      </c>
      <c r="P21" s="23">
        <f t="shared" si="4"/>
        <v>0.8</v>
      </c>
      <c r="Q21" s="23"/>
      <c r="R21" s="23"/>
    </row>
    <row r="22" spans="1:18" x14ac:dyDescent="0.2">
      <c r="A22" s="23" t="s">
        <v>1</v>
      </c>
      <c r="B22" s="23">
        <v>30</v>
      </c>
      <c r="C22" s="23">
        <v>2</v>
      </c>
      <c r="D22" s="23" t="s">
        <v>40</v>
      </c>
      <c r="E22" s="23">
        <v>240</v>
      </c>
      <c r="F22" s="23">
        <v>4</v>
      </c>
      <c r="G22" s="23">
        <v>1</v>
      </c>
      <c r="H22" s="23">
        <v>28.9</v>
      </c>
      <c r="I22" s="23">
        <f>ROUND(I21-H22,1)</f>
        <v>105.1</v>
      </c>
      <c r="J22" s="23">
        <f t="shared" si="0"/>
        <v>19.7</v>
      </c>
      <c r="K22" s="23">
        <v>29.5</v>
      </c>
      <c r="L22" s="23">
        <f>ROUND(L21-K22,1)</f>
        <v>105.3</v>
      </c>
      <c r="M22" s="23">
        <f t="shared" si="1"/>
        <v>20.2</v>
      </c>
      <c r="N22" s="23">
        <f t="shared" si="2"/>
        <v>20</v>
      </c>
      <c r="O22" s="23">
        <f t="shared" si="3"/>
        <v>0.4</v>
      </c>
      <c r="P22" s="23">
        <f t="shared" si="4"/>
        <v>0.7</v>
      </c>
      <c r="Q22" s="23"/>
      <c r="R22" s="23"/>
    </row>
    <row r="23" spans="1:18" x14ac:dyDescent="0.2">
      <c r="A23" s="23" t="s">
        <v>1</v>
      </c>
      <c r="B23" s="23">
        <v>30</v>
      </c>
      <c r="C23" s="23">
        <v>2</v>
      </c>
      <c r="D23" s="23" t="s">
        <v>40</v>
      </c>
      <c r="E23" s="23">
        <v>300</v>
      </c>
      <c r="F23" s="23">
        <v>5</v>
      </c>
      <c r="G23" s="23">
        <v>1</v>
      </c>
      <c r="H23" s="23">
        <v>26.7</v>
      </c>
      <c r="I23" s="23">
        <f>ROUND(I22-H23,1)</f>
        <v>78.400000000000006</v>
      </c>
      <c r="J23" s="23">
        <f t="shared" si="0"/>
        <v>18.2</v>
      </c>
      <c r="K23" s="23">
        <v>26</v>
      </c>
      <c r="L23" s="23">
        <f>ROUND(L22-K23,1)</f>
        <v>79.3</v>
      </c>
      <c r="M23" s="23">
        <f t="shared" si="1"/>
        <v>17.8</v>
      </c>
      <c r="N23" s="23">
        <f t="shared" si="2"/>
        <v>18</v>
      </c>
      <c r="O23" s="23">
        <f t="shared" si="3"/>
        <v>0.3</v>
      </c>
      <c r="P23" s="23">
        <f t="shared" si="4"/>
        <v>0.6</v>
      </c>
      <c r="Q23" s="23"/>
      <c r="R23" s="23"/>
    </row>
    <row r="24" spans="1:18" x14ac:dyDescent="0.2">
      <c r="A24" s="25" t="s">
        <v>1</v>
      </c>
      <c r="B24" s="25">
        <v>30</v>
      </c>
      <c r="C24" s="25">
        <v>2</v>
      </c>
      <c r="D24" s="25" t="s">
        <v>55</v>
      </c>
      <c r="E24" s="25">
        <v>60</v>
      </c>
      <c r="F24" s="25">
        <v>1</v>
      </c>
      <c r="G24" s="25">
        <v>1</v>
      </c>
      <c r="H24" s="25">
        <v>32.1</v>
      </c>
      <c r="I24" s="25">
        <f>ROUND($B$6-H24,1)</f>
        <v>217.9</v>
      </c>
      <c r="J24" s="25">
        <f t="shared" si="0"/>
        <v>21.9</v>
      </c>
      <c r="K24" s="25">
        <v>32.6</v>
      </c>
      <c r="L24" s="25">
        <f>ROUND($B$6-K24,1)</f>
        <v>217.4</v>
      </c>
      <c r="M24" s="25">
        <f t="shared" si="1"/>
        <v>22.3</v>
      </c>
      <c r="N24" s="25">
        <f t="shared" si="2"/>
        <v>22.1</v>
      </c>
      <c r="O24" s="25">
        <f t="shared" si="3"/>
        <v>0.3</v>
      </c>
      <c r="P24" s="25">
        <f t="shared" si="4"/>
        <v>0.7</v>
      </c>
      <c r="Q24" s="25">
        <f>ROUND(N24/N18*100,1)</f>
        <v>67.599999999999994</v>
      </c>
      <c r="R24" s="25">
        <f>ROUND(STDEV(J24/J18*100,M24/M18*100),1)</f>
        <v>0.3</v>
      </c>
    </row>
    <row r="25" spans="1:18" x14ac:dyDescent="0.2">
      <c r="A25" s="25" t="s">
        <v>1</v>
      </c>
      <c r="B25" s="25">
        <v>30</v>
      </c>
      <c r="C25" s="25">
        <v>2</v>
      </c>
      <c r="D25" s="25" t="s">
        <v>55</v>
      </c>
      <c r="E25" s="25">
        <v>120</v>
      </c>
      <c r="F25" s="25">
        <v>2</v>
      </c>
      <c r="G25" s="25">
        <v>1</v>
      </c>
      <c r="H25" s="25">
        <v>34</v>
      </c>
      <c r="I25" s="25">
        <f>ROUND(I24-H25,1)</f>
        <v>183.9</v>
      </c>
      <c r="J25" s="25">
        <f t="shared" si="0"/>
        <v>23.2</v>
      </c>
      <c r="K25" s="25">
        <v>33</v>
      </c>
      <c r="L25" s="25">
        <f>ROUND(L24-K25,1)</f>
        <v>184.4</v>
      </c>
      <c r="M25" s="25">
        <f t="shared" si="1"/>
        <v>22.5</v>
      </c>
      <c r="N25" s="25">
        <f t="shared" si="2"/>
        <v>22.9</v>
      </c>
      <c r="O25" s="25">
        <f t="shared" si="3"/>
        <v>0.5</v>
      </c>
      <c r="P25" s="25">
        <f t="shared" si="4"/>
        <v>0.8</v>
      </c>
      <c r="Q25" s="25">
        <f>ROUND(N25/N18*100,1)</f>
        <v>70</v>
      </c>
      <c r="R25" s="25">
        <f>ROUND(STDEV(J25/J18*100,M25/M18*100),1)</f>
        <v>2.1</v>
      </c>
    </row>
    <row r="26" spans="1:18" x14ac:dyDescent="0.2">
      <c r="A26" s="21" t="s">
        <v>0</v>
      </c>
      <c r="B26" s="21">
        <v>30</v>
      </c>
      <c r="C26" s="21">
        <v>2</v>
      </c>
      <c r="D26" s="21" t="s">
        <v>39</v>
      </c>
      <c r="E26" s="21">
        <v>300</v>
      </c>
      <c r="F26" s="21">
        <v>5</v>
      </c>
      <c r="G26" s="21">
        <v>1</v>
      </c>
      <c r="H26" s="21">
        <v>47.8</v>
      </c>
      <c r="I26" s="21"/>
      <c r="J26" s="21">
        <f t="shared" si="0"/>
        <v>32.700000000000003</v>
      </c>
      <c r="K26" s="21">
        <v>48.3</v>
      </c>
      <c r="L26" s="21"/>
      <c r="M26" s="21">
        <f t="shared" si="1"/>
        <v>33</v>
      </c>
      <c r="N26" s="21">
        <f t="shared" si="2"/>
        <v>32.9</v>
      </c>
      <c r="O26" s="21">
        <f t="shared" si="3"/>
        <v>0.2</v>
      </c>
      <c r="P26" s="21">
        <f t="shared" si="4"/>
        <v>1.1000000000000001</v>
      </c>
      <c r="Q26" s="21"/>
      <c r="R26" s="21"/>
    </row>
    <row r="27" spans="1:18" x14ac:dyDescent="0.2">
      <c r="A27" s="23" t="s">
        <v>0</v>
      </c>
      <c r="B27" s="23">
        <v>30</v>
      </c>
      <c r="C27" s="23">
        <v>2</v>
      </c>
      <c r="D27" s="23" t="s">
        <v>40</v>
      </c>
      <c r="E27" s="23">
        <v>60</v>
      </c>
      <c r="F27" s="23">
        <v>1</v>
      </c>
      <c r="G27" s="23">
        <v>1</v>
      </c>
      <c r="H27" s="23">
        <v>44.1</v>
      </c>
      <c r="I27" s="23">
        <f>ROUND($B$6-H27,1)</f>
        <v>205.9</v>
      </c>
      <c r="J27" s="23">
        <f t="shared" si="0"/>
        <v>30.1</v>
      </c>
      <c r="K27" s="23">
        <v>43.5</v>
      </c>
      <c r="L27" s="23">
        <f>ROUND($B$6-K27,1)</f>
        <v>206.5</v>
      </c>
      <c r="M27" s="23">
        <f t="shared" si="1"/>
        <v>29.7</v>
      </c>
      <c r="N27" s="23">
        <f t="shared" si="2"/>
        <v>29.9</v>
      </c>
      <c r="O27" s="23">
        <f t="shared" si="3"/>
        <v>0.3</v>
      </c>
      <c r="P27" s="23">
        <f t="shared" si="4"/>
        <v>1</v>
      </c>
      <c r="Q27" s="23"/>
      <c r="R27" s="23"/>
    </row>
    <row r="28" spans="1:18" x14ac:dyDescent="0.2">
      <c r="A28" s="23" t="s">
        <v>0</v>
      </c>
      <c r="B28" s="23">
        <v>30</v>
      </c>
      <c r="C28" s="23">
        <v>2</v>
      </c>
      <c r="D28" s="23" t="s">
        <v>40</v>
      </c>
      <c r="E28" s="23">
        <v>120</v>
      </c>
      <c r="F28" s="23">
        <v>2</v>
      </c>
      <c r="G28" s="23">
        <v>1</v>
      </c>
      <c r="H28" s="23">
        <v>39.4</v>
      </c>
      <c r="I28" s="23">
        <f>ROUND(I27-H28,1)</f>
        <v>166.5</v>
      </c>
      <c r="J28" s="23">
        <f t="shared" si="0"/>
        <v>26.9</v>
      </c>
      <c r="K28" s="23">
        <v>40.1</v>
      </c>
      <c r="L28" s="23">
        <f>ROUND(L27-K28,1)</f>
        <v>166.4</v>
      </c>
      <c r="M28" s="23">
        <f t="shared" si="1"/>
        <v>27.4</v>
      </c>
      <c r="N28" s="23">
        <f t="shared" si="2"/>
        <v>27.2</v>
      </c>
      <c r="O28" s="23">
        <f t="shared" si="3"/>
        <v>0.4</v>
      </c>
      <c r="P28" s="23">
        <f t="shared" si="4"/>
        <v>0.9</v>
      </c>
      <c r="Q28" s="23"/>
      <c r="R28" s="23"/>
    </row>
    <row r="29" spans="1:18" x14ac:dyDescent="0.2">
      <c r="A29" s="23" t="s">
        <v>0</v>
      </c>
      <c r="B29" s="23">
        <v>30</v>
      </c>
      <c r="C29" s="23">
        <v>2</v>
      </c>
      <c r="D29" s="23" t="s">
        <v>40</v>
      </c>
      <c r="E29" s="23">
        <v>180</v>
      </c>
      <c r="F29" s="23">
        <v>3</v>
      </c>
      <c r="G29" s="23">
        <v>1</v>
      </c>
      <c r="H29" s="23">
        <v>34.6</v>
      </c>
      <c r="I29" s="23">
        <f>ROUND(I28-H29,1)</f>
        <v>131.9</v>
      </c>
      <c r="J29" s="23">
        <f t="shared" si="0"/>
        <v>23.6</v>
      </c>
      <c r="K29" s="23">
        <v>33.700000000000003</v>
      </c>
      <c r="L29" s="23">
        <f>ROUND(L28-K29,1)</f>
        <v>132.69999999999999</v>
      </c>
      <c r="M29" s="23">
        <f t="shared" si="1"/>
        <v>23</v>
      </c>
      <c r="N29" s="23">
        <f t="shared" si="2"/>
        <v>23.3</v>
      </c>
      <c r="O29" s="23">
        <f t="shared" si="3"/>
        <v>0.4</v>
      </c>
      <c r="P29" s="23">
        <f t="shared" si="4"/>
        <v>0.8</v>
      </c>
      <c r="Q29" s="23"/>
      <c r="R29" s="23"/>
    </row>
    <row r="30" spans="1:18" x14ac:dyDescent="0.2">
      <c r="A30" s="23" t="s">
        <v>0</v>
      </c>
      <c r="B30" s="23">
        <v>30</v>
      </c>
      <c r="C30" s="23">
        <v>2</v>
      </c>
      <c r="D30" s="23" t="s">
        <v>40</v>
      </c>
      <c r="E30" s="23">
        <v>240</v>
      </c>
      <c r="F30" s="23">
        <v>4</v>
      </c>
      <c r="G30" s="23">
        <v>1</v>
      </c>
      <c r="H30" s="23">
        <v>31.2</v>
      </c>
      <c r="I30" s="23">
        <f>ROUND(I29-H30,1)</f>
        <v>100.7</v>
      </c>
      <c r="J30" s="23">
        <f t="shared" si="0"/>
        <v>21.3</v>
      </c>
      <c r="K30" s="23">
        <v>32.200000000000003</v>
      </c>
      <c r="L30" s="23">
        <f>ROUND(L29-K30,1)</f>
        <v>100.5</v>
      </c>
      <c r="M30" s="23">
        <f t="shared" si="1"/>
        <v>22</v>
      </c>
      <c r="N30" s="23">
        <f t="shared" si="2"/>
        <v>21.7</v>
      </c>
      <c r="O30" s="23">
        <f t="shared" si="3"/>
        <v>0.5</v>
      </c>
      <c r="P30" s="23">
        <f t="shared" si="4"/>
        <v>0.7</v>
      </c>
      <c r="Q30" s="23"/>
      <c r="R30" s="23"/>
    </row>
    <row r="31" spans="1:18" x14ac:dyDescent="0.2">
      <c r="A31" s="23" t="s">
        <v>0</v>
      </c>
      <c r="B31" s="23">
        <v>30</v>
      </c>
      <c r="C31" s="23">
        <v>2</v>
      </c>
      <c r="D31" s="23" t="s">
        <v>40</v>
      </c>
      <c r="E31" s="23">
        <v>300</v>
      </c>
      <c r="F31" s="23">
        <v>5</v>
      </c>
      <c r="G31" s="23">
        <v>1</v>
      </c>
      <c r="H31" s="23">
        <v>29.7</v>
      </c>
      <c r="I31" s="23">
        <f>ROUND(I30-H31,1)</f>
        <v>71</v>
      </c>
      <c r="J31" s="23">
        <f t="shared" si="0"/>
        <v>20.3</v>
      </c>
      <c r="K31" s="23">
        <v>29.1</v>
      </c>
      <c r="L31" s="23">
        <f>ROUND(L30-K31,1)</f>
        <v>71.400000000000006</v>
      </c>
      <c r="M31" s="23">
        <f t="shared" si="1"/>
        <v>19.899999999999999</v>
      </c>
      <c r="N31" s="23">
        <f t="shared" si="2"/>
        <v>20.100000000000001</v>
      </c>
      <c r="O31" s="23">
        <f t="shared" si="3"/>
        <v>0.3</v>
      </c>
      <c r="P31" s="23">
        <f t="shared" si="4"/>
        <v>0.7</v>
      </c>
      <c r="Q31" s="23"/>
      <c r="R31" s="23"/>
    </row>
    <row r="32" spans="1:18" x14ac:dyDescent="0.2">
      <c r="A32" s="25" t="s">
        <v>0</v>
      </c>
      <c r="B32" s="25">
        <v>30</v>
      </c>
      <c r="C32" s="25">
        <v>2</v>
      </c>
      <c r="D32" s="25" t="s">
        <v>55</v>
      </c>
      <c r="E32" s="25">
        <v>60</v>
      </c>
      <c r="F32" s="25">
        <v>1</v>
      </c>
      <c r="G32" s="25">
        <v>1</v>
      </c>
      <c r="H32" s="25">
        <v>37.6</v>
      </c>
      <c r="I32" s="25">
        <f>ROUND($B$6-H32,1)</f>
        <v>212.4</v>
      </c>
      <c r="J32" s="25">
        <f t="shared" si="0"/>
        <v>25.7</v>
      </c>
      <c r="K32" s="25">
        <v>38.4</v>
      </c>
      <c r="L32" s="25">
        <f>ROUND($B$6-K32,1)</f>
        <v>211.6</v>
      </c>
      <c r="M32" s="25">
        <f t="shared" si="1"/>
        <v>26.2</v>
      </c>
      <c r="N32" s="25">
        <f t="shared" si="2"/>
        <v>26</v>
      </c>
      <c r="O32" s="25">
        <f t="shared" si="3"/>
        <v>0.4</v>
      </c>
      <c r="P32" s="25">
        <f t="shared" si="4"/>
        <v>0.9</v>
      </c>
      <c r="Q32" s="25">
        <f>ROUND(N32/N26*100,1)</f>
        <v>79</v>
      </c>
      <c r="R32" s="25">
        <f>ROUND(STDEV(J32/J26*100,M32/M26*100),1)</f>
        <v>0.6</v>
      </c>
    </row>
    <row r="33" spans="1:18" x14ac:dyDescent="0.2">
      <c r="A33" s="25" t="s">
        <v>0</v>
      </c>
      <c r="B33" s="25">
        <v>30</v>
      </c>
      <c r="C33" s="25">
        <v>2</v>
      </c>
      <c r="D33" s="25" t="s">
        <v>55</v>
      </c>
      <c r="E33" s="25">
        <v>120</v>
      </c>
      <c r="F33" s="25">
        <v>2</v>
      </c>
      <c r="G33" s="25">
        <v>1</v>
      </c>
      <c r="H33" s="25">
        <v>39.6</v>
      </c>
      <c r="I33" s="25">
        <f>ROUND(I32-H33,1)</f>
        <v>172.8</v>
      </c>
      <c r="J33" s="25">
        <f t="shared" si="0"/>
        <v>27</v>
      </c>
      <c r="K33" s="25">
        <v>39.1</v>
      </c>
      <c r="L33" s="25">
        <f>ROUND(L32-K33,1)</f>
        <v>172.5</v>
      </c>
      <c r="M33" s="25">
        <f t="shared" si="1"/>
        <v>26.7</v>
      </c>
      <c r="N33" s="25">
        <f t="shared" si="2"/>
        <v>26.9</v>
      </c>
      <c r="O33" s="25">
        <f t="shared" si="3"/>
        <v>0.2</v>
      </c>
      <c r="P33" s="25">
        <f t="shared" si="4"/>
        <v>0.9</v>
      </c>
      <c r="Q33" s="25">
        <f>ROUND(N33/N26*100,1)</f>
        <v>81.8</v>
      </c>
      <c r="R33" s="25">
        <f>ROUND(STDEV(J33/J26*100,M33/M26*100),1)</f>
        <v>1.2</v>
      </c>
    </row>
    <row r="34" spans="1:18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1:18" x14ac:dyDescent="0.2">
      <c r="A35" s="34" t="s">
        <v>62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 ht="34" x14ac:dyDescent="0.2">
      <c r="A36" s="33" t="s">
        <v>19</v>
      </c>
      <c r="B36" s="33" t="s">
        <v>26</v>
      </c>
      <c r="C36" s="33" t="s">
        <v>53</v>
      </c>
      <c r="D36" s="33" t="s">
        <v>27</v>
      </c>
      <c r="E36" s="33" t="s">
        <v>28</v>
      </c>
      <c r="F36" s="33" t="s">
        <v>4</v>
      </c>
      <c r="G36" s="33" t="s">
        <v>29</v>
      </c>
      <c r="H36" s="33" t="s">
        <v>30</v>
      </c>
      <c r="I36" s="33" t="s">
        <v>31</v>
      </c>
      <c r="J36" s="33" t="s">
        <v>32</v>
      </c>
      <c r="K36" s="33" t="s">
        <v>33</v>
      </c>
      <c r="L36" s="33" t="s">
        <v>34</v>
      </c>
      <c r="M36" s="33" t="s">
        <v>35</v>
      </c>
      <c r="N36" s="33" t="s">
        <v>36</v>
      </c>
      <c r="O36" s="33" t="s">
        <v>37</v>
      </c>
      <c r="P36" s="33" t="s">
        <v>38</v>
      </c>
      <c r="Q36" s="33" t="s">
        <v>54</v>
      </c>
      <c r="R36" s="33" t="s">
        <v>44</v>
      </c>
    </row>
    <row r="37" spans="1:18" x14ac:dyDescent="0.2">
      <c r="A37" s="21" t="s">
        <v>5</v>
      </c>
      <c r="B37" s="21">
        <v>12</v>
      </c>
      <c r="C37" s="21">
        <v>2</v>
      </c>
      <c r="D37" s="21" t="s">
        <v>39</v>
      </c>
      <c r="E37" s="21">
        <v>300</v>
      </c>
      <c r="F37" s="21">
        <v>5</v>
      </c>
      <c r="G37" s="21">
        <v>1</v>
      </c>
      <c r="H37" s="21">
        <v>48.1</v>
      </c>
      <c r="I37" s="21"/>
      <c r="J37" s="21">
        <f t="shared" ref="J37:J60" si="5">ROUND(H37/1000/$B$2/G37,1)</f>
        <v>32.9</v>
      </c>
      <c r="K37" s="21">
        <v>47.6</v>
      </c>
      <c r="L37" s="21"/>
      <c r="M37" s="21">
        <f t="shared" ref="M37:M60" si="6">ROUND(K37/1000/$B$2/G37,1)</f>
        <v>32.5</v>
      </c>
      <c r="N37" s="21">
        <f t="shared" ref="N37:N60" si="7">ROUND(AVERAGE(J37,M37),1)</f>
        <v>32.700000000000003</v>
      </c>
      <c r="O37" s="21">
        <f t="shared" ref="O37:O60" si="8">ROUND(STDEV(J37,M37),1)</f>
        <v>0.3</v>
      </c>
      <c r="P37" s="21">
        <f t="shared" ref="P37:P60" si="9">ROUND(N37/B37,1)</f>
        <v>2.7</v>
      </c>
      <c r="Q37" s="21"/>
      <c r="R37" s="21"/>
    </row>
    <row r="38" spans="1:18" x14ac:dyDescent="0.2">
      <c r="A38" s="23" t="s">
        <v>5</v>
      </c>
      <c r="B38" s="23">
        <v>12</v>
      </c>
      <c r="C38" s="23">
        <v>2</v>
      </c>
      <c r="D38" s="23" t="s">
        <v>40</v>
      </c>
      <c r="E38" s="23">
        <v>60</v>
      </c>
      <c r="F38" s="23">
        <v>1</v>
      </c>
      <c r="G38" s="23">
        <v>1</v>
      </c>
      <c r="H38" s="23">
        <v>43.3</v>
      </c>
      <c r="I38" s="23">
        <f>ROUND($B$6-H38,1)</f>
        <v>206.7</v>
      </c>
      <c r="J38" s="23">
        <f t="shared" si="5"/>
        <v>29.6</v>
      </c>
      <c r="K38" s="23">
        <v>43.8</v>
      </c>
      <c r="L38" s="23">
        <f>ROUND($B$6-K38,1)</f>
        <v>206.2</v>
      </c>
      <c r="M38" s="23">
        <f t="shared" si="6"/>
        <v>29.9</v>
      </c>
      <c r="N38" s="23">
        <f t="shared" si="7"/>
        <v>29.8</v>
      </c>
      <c r="O38" s="23">
        <f t="shared" si="8"/>
        <v>0.2</v>
      </c>
      <c r="P38" s="23">
        <f t="shared" si="9"/>
        <v>2.5</v>
      </c>
      <c r="Q38" s="23"/>
      <c r="R38" s="23"/>
    </row>
    <row r="39" spans="1:18" x14ac:dyDescent="0.2">
      <c r="A39" s="23" t="s">
        <v>5</v>
      </c>
      <c r="B39" s="23">
        <v>12</v>
      </c>
      <c r="C39" s="23">
        <v>2</v>
      </c>
      <c r="D39" s="23" t="s">
        <v>40</v>
      </c>
      <c r="E39" s="23">
        <v>120</v>
      </c>
      <c r="F39" s="23">
        <v>2</v>
      </c>
      <c r="G39" s="23">
        <v>1</v>
      </c>
      <c r="H39" s="23">
        <v>34.6</v>
      </c>
      <c r="I39" s="23">
        <f>ROUND(I38-H39,1)</f>
        <v>172.1</v>
      </c>
      <c r="J39" s="23">
        <f t="shared" si="5"/>
        <v>23.6</v>
      </c>
      <c r="K39" s="23">
        <v>33.9</v>
      </c>
      <c r="L39" s="23">
        <f>ROUND(L38-K39,1)</f>
        <v>172.3</v>
      </c>
      <c r="M39" s="23">
        <f t="shared" si="6"/>
        <v>23.2</v>
      </c>
      <c r="N39" s="23">
        <f t="shared" si="7"/>
        <v>23.4</v>
      </c>
      <c r="O39" s="23">
        <f t="shared" si="8"/>
        <v>0.3</v>
      </c>
      <c r="P39" s="23">
        <f t="shared" si="9"/>
        <v>2</v>
      </c>
      <c r="Q39" s="23"/>
      <c r="R39" s="23"/>
    </row>
    <row r="40" spans="1:18" x14ac:dyDescent="0.2">
      <c r="A40" s="23" t="s">
        <v>5</v>
      </c>
      <c r="B40" s="23">
        <v>12</v>
      </c>
      <c r="C40" s="23">
        <v>2</v>
      </c>
      <c r="D40" s="23" t="s">
        <v>40</v>
      </c>
      <c r="E40" s="23">
        <v>180</v>
      </c>
      <c r="F40" s="23">
        <v>3</v>
      </c>
      <c r="G40" s="23">
        <v>1</v>
      </c>
      <c r="H40" s="23">
        <v>29</v>
      </c>
      <c r="I40" s="23">
        <f>ROUND(I39-H40,1)</f>
        <v>143.1</v>
      </c>
      <c r="J40" s="23">
        <f t="shared" si="5"/>
        <v>19.8</v>
      </c>
      <c r="K40" s="23">
        <v>29.9</v>
      </c>
      <c r="L40" s="23">
        <f>ROUND(L39-K40,1)</f>
        <v>142.4</v>
      </c>
      <c r="M40" s="23">
        <f t="shared" si="6"/>
        <v>20.399999999999999</v>
      </c>
      <c r="N40" s="23">
        <f t="shared" si="7"/>
        <v>20.100000000000001</v>
      </c>
      <c r="O40" s="23">
        <f t="shared" si="8"/>
        <v>0.4</v>
      </c>
      <c r="P40" s="23">
        <f t="shared" si="9"/>
        <v>1.7</v>
      </c>
      <c r="Q40" s="23"/>
      <c r="R40" s="23"/>
    </row>
    <row r="41" spans="1:18" x14ac:dyDescent="0.2">
      <c r="A41" s="23" t="s">
        <v>5</v>
      </c>
      <c r="B41" s="23">
        <v>12</v>
      </c>
      <c r="C41" s="23">
        <v>2</v>
      </c>
      <c r="D41" s="23" t="s">
        <v>40</v>
      </c>
      <c r="E41" s="23">
        <v>240</v>
      </c>
      <c r="F41" s="23">
        <v>4</v>
      </c>
      <c r="G41" s="23">
        <v>1</v>
      </c>
      <c r="H41" s="23">
        <v>19.5</v>
      </c>
      <c r="I41" s="23">
        <f>ROUND(I40-H41,1)</f>
        <v>123.6</v>
      </c>
      <c r="J41" s="23">
        <f t="shared" si="5"/>
        <v>13.3</v>
      </c>
      <c r="K41" s="23">
        <v>18.600000000000001</v>
      </c>
      <c r="L41" s="23">
        <f>ROUND(L40-K41,1)</f>
        <v>123.8</v>
      </c>
      <c r="M41" s="23">
        <f t="shared" si="6"/>
        <v>12.7</v>
      </c>
      <c r="N41" s="23">
        <f t="shared" si="7"/>
        <v>13</v>
      </c>
      <c r="O41" s="23">
        <f t="shared" si="8"/>
        <v>0.4</v>
      </c>
      <c r="P41" s="23">
        <f t="shared" si="9"/>
        <v>1.1000000000000001</v>
      </c>
      <c r="Q41" s="23"/>
      <c r="R41" s="23"/>
    </row>
    <row r="42" spans="1:18" x14ac:dyDescent="0.2">
      <c r="A42" s="23" t="s">
        <v>5</v>
      </c>
      <c r="B42" s="23">
        <v>12</v>
      </c>
      <c r="C42" s="23">
        <v>2</v>
      </c>
      <c r="D42" s="23" t="s">
        <v>40</v>
      </c>
      <c r="E42" s="23">
        <v>300</v>
      </c>
      <c r="F42" s="23">
        <v>5</v>
      </c>
      <c r="G42" s="23">
        <v>1</v>
      </c>
      <c r="H42" s="23">
        <v>15.1</v>
      </c>
      <c r="I42" s="23">
        <f>ROUND(I41-H42,1)</f>
        <v>108.5</v>
      </c>
      <c r="J42" s="23">
        <f t="shared" si="5"/>
        <v>10.3</v>
      </c>
      <c r="K42" s="23">
        <v>15.7</v>
      </c>
      <c r="L42" s="23">
        <f>ROUND(L41-K42,1)</f>
        <v>108.1</v>
      </c>
      <c r="M42" s="23">
        <f t="shared" si="6"/>
        <v>10.7</v>
      </c>
      <c r="N42" s="23">
        <f t="shared" si="7"/>
        <v>10.5</v>
      </c>
      <c r="O42" s="23">
        <f t="shared" si="8"/>
        <v>0.3</v>
      </c>
      <c r="P42" s="23">
        <f t="shared" si="9"/>
        <v>0.9</v>
      </c>
      <c r="Q42" s="23"/>
      <c r="R42" s="23"/>
    </row>
    <row r="43" spans="1:18" x14ac:dyDescent="0.2">
      <c r="A43" s="25" t="s">
        <v>5</v>
      </c>
      <c r="B43" s="25">
        <v>12</v>
      </c>
      <c r="C43" s="25">
        <v>2</v>
      </c>
      <c r="D43" s="25" t="s">
        <v>55</v>
      </c>
      <c r="E43" s="25">
        <v>60</v>
      </c>
      <c r="F43" s="25">
        <v>1</v>
      </c>
      <c r="G43" s="25">
        <v>1</v>
      </c>
      <c r="H43" s="25">
        <v>24.8</v>
      </c>
      <c r="I43" s="25">
        <f>ROUND($B$6-H43,1)</f>
        <v>225.2</v>
      </c>
      <c r="J43" s="25">
        <f t="shared" si="5"/>
        <v>16.899999999999999</v>
      </c>
      <c r="K43" s="25">
        <v>24.1</v>
      </c>
      <c r="L43" s="25">
        <f>ROUND($B$6-K43,1)</f>
        <v>225.9</v>
      </c>
      <c r="M43" s="25">
        <f t="shared" si="6"/>
        <v>16.5</v>
      </c>
      <c r="N43" s="25">
        <f t="shared" si="7"/>
        <v>16.7</v>
      </c>
      <c r="O43" s="25">
        <f t="shared" si="8"/>
        <v>0.3</v>
      </c>
      <c r="P43" s="25">
        <f t="shared" si="9"/>
        <v>1.4</v>
      </c>
      <c r="Q43" s="25">
        <f>ROUND(N43/N37*100,1)</f>
        <v>51.1</v>
      </c>
      <c r="R43" s="25">
        <f>ROUND(STDEV(J43/J37*100,M43/M37*100),1)</f>
        <v>0.4</v>
      </c>
    </row>
    <row r="44" spans="1:18" x14ac:dyDescent="0.2">
      <c r="A44" s="25" t="s">
        <v>5</v>
      </c>
      <c r="B44" s="25">
        <v>12</v>
      </c>
      <c r="C44" s="25">
        <v>2</v>
      </c>
      <c r="D44" s="25" t="s">
        <v>55</v>
      </c>
      <c r="E44" s="25">
        <v>120</v>
      </c>
      <c r="F44" s="25">
        <v>2</v>
      </c>
      <c r="G44" s="25">
        <v>1</v>
      </c>
      <c r="H44" s="25">
        <v>25.1</v>
      </c>
      <c r="I44" s="25">
        <f>ROUND(I43-H44,1)</f>
        <v>200.1</v>
      </c>
      <c r="J44" s="25">
        <f t="shared" si="5"/>
        <v>17.100000000000001</v>
      </c>
      <c r="K44" s="25">
        <v>25.6</v>
      </c>
      <c r="L44" s="25">
        <f>ROUND(L43-K44,1)</f>
        <v>200.3</v>
      </c>
      <c r="M44" s="25">
        <f t="shared" si="6"/>
        <v>17.5</v>
      </c>
      <c r="N44" s="25">
        <f t="shared" si="7"/>
        <v>17.3</v>
      </c>
      <c r="O44" s="25">
        <f t="shared" si="8"/>
        <v>0.3</v>
      </c>
      <c r="P44" s="25">
        <f t="shared" si="9"/>
        <v>1.4</v>
      </c>
      <c r="Q44" s="25">
        <f>ROUND(N44/N37*100,1)</f>
        <v>52.9</v>
      </c>
      <c r="R44" s="25">
        <f>ROUND(STDEV(J44/J37*100,M44/M37*100),1)</f>
        <v>1.3</v>
      </c>
    </row>
    <row r="45" spans="1:18" x14ac:dyDescent="0.2">
      <c r="A45" s="21" t="s">
        <v>1</v>
      </c>
      <c r="B45" s="21">
        <v>30</v>
      </c>
      <c r="C45" s="21">
        <v>2</v>
      </c>
      <c r="D45" s="21" t="s">
        <v>39</v>
      </c>
      <c r="E45" s="21">
        <v>300</v>
      </c>
      <c r="F45" s="21">
        <v>5</v>
      </c>
      <c r="G45" s="21">
        <v>1</v>
      </c>
      <c r="H45" s="21">
        <v>48.5</v>
      </c>
      <c r="I45" s="21"/>
      <c r="J45" s="21">
        <f t="shared" si="5"/>
        <v>33.1</v>
      </c>
      <c r="K45" s="21">
        <v>47.5</v>
      </c>
      <c r="L45" s="21"/>
      <c r="M45" s="21">
        <f t="shared" si="6"/>
        <v>32.4</v>
      </c>
      <c r="N45" s="21">
        <f t="shared" si="7"/>
        <v>32.799999999999997</v>
      </c>
      <c r="O45" s="21">
        <f t="shared" si="8"/>
        <v>0.5</v>
      </c>
      <c r="P45" s="21">
        <f t="shared" si="9"/>
        <v>1.1000000000000001</v>
      </c>
      <c r="Q45" s="21"/>
      <c r="R45" s="21"/>
    </row>
    <row r="46" spans="1:18" x14ac:dyDescent="0.2">
      <c r="A46" s="23" t="s">
        <v>1</v>
      </c>
      <c r="B46" s="23">
        <v>30</v>
      </c>
      <c r="C46" s="23">
        <v>2</v>
      </c>
      <c r="D46" s="23" t="s">
        <v>40</v>
      </c>
      <c r="E46" s="23">
        <v>60</v>
      </c>
      <c r="F46" s="23">
        <v>1</v>
      </c>
      <c r="G46" s="23">
        <v>1</v>
      </c>
      <c r="H46" s="23">
        <v>42.9</v>
      </c>
      <c r="I46" s="23">
        <f>ROUND($B$6-H46,1)</f>
        <v>207.1</v>
      </c>
      <c r="J46" s="23">
        <f t="shared" si="5"/>
        <v>29.3</v>
      </c>
      <c r="K46" s="23">
        <v>43.3</v>
      </c>
      <c r="L46" s="23">
        <f>ROUND($B$6-K46,1)</f>
        <v>206.7</v>
      </c>
      <c r="M46" s="23">
        <f t="shared" si="6"/>
        <v>29.6</v>
      </c>
      <c r="N46" s="23">
        <f t="shared" si="7"/>
        <v>29.5</v>
      </c>
      <c r="O46" s="23">
        <f t="shared" si="8"/>
        <v>0.2</v>
      </c>
      <c r="P46" s="23">
        <f t="shared" si="9"/>
        <v>1</v>
      </c>
      <c r="Q46" s="23"/>
      <c r="R46" s="23"/>
    </row>
    <row r="47" spans="1:18" x14ac:dyDescent="0.2">
      <c r="A47" s="23" t="s">
        <v>1</v>
      </c>
      <c r="B47" s="23">
        <v>30</v>
      </c>
      <c r="C47" s="23">
        <v>2</v>
      </c>
      <c r="D47" s="23" t="s">
        <v>40</v>
      </c>
      <c r="E47" s="23">
        <v>120</v>
      </c>
      <c r="F47" s="23">
        <v>2</v>
      </c>
      <c r="G47" s="23">
        <v>1</v>
      </c>
      <c r="H47" s="23">
        <v>38.200000000000003</v>
      </c>
      <c r="I47" s="23">
        <f>ROUND(I46-H47,1)</f>
        <v>168.9</v>
      </c>
      <c r="J47" s="23">
        <f t="shared" si="5"/>
        <v>26.1</v>
      </c>
      <c r="K47" s="23">
        <v>37.6</v>
      </c>
      <c r="L47" s="23">
        <f>ROUND(L46-K47,1)</f>
        <v>169.1</v>
      </c>
      <c r="M47" s="23">
        <f t="shared" si="6"/>
        <v>25.7</v>
      </c>
      <c r="N47" s="23">
        <f t="shared" si="7"/>
        <v>25.9</v>
      </c>
      <c r="O47" s="23">
        <f t="shared" si="8"/>
        <v>0.3</v>
      </c>
      <c r="P47" s="23">
        <f t="shared" si="9"/>
        <v>0.9</v>
      </c>
      <c r="Q47" s="23"/>
      <c r="R47" s="23"/>
    </row>
    <row r="48" spans="1:18" x14ac:dyDescent="0.2">
      <c r="A48" s="23" t="s">
        <v>1</v>
      </c>
      <c r="B48" s="23">
        <v>30</v>
      </c>
      <c r="C48" s="23">
        <v>2</v>
      </c>
      <c r="D48" s="23" t="s">
        <v>40</v>
      </c>
      <c r="E48" s="23">
        <v>180</v>
      </c>
      <c r="F48" s="23">
        <v>3</v>
      </c>
      <c r="G48" s="23">
        <v>1</v>
      </c>
      <c r="H48" s="23">
        <v>34.700000000000003</v>
      </c>
      <c r="I48" s="23">
        <f>ROUND(I47-H48,1)</f>
        <v>134.19999999999999</v>
      </c>
      <c r="J48" s="23">
        <f t="shared" si="5"/>
        <v>23.7</v>
      </c>
      <c r="K48" s="23">
        <v>35.4</v>
      </c>
      <c r="L48" s="23">
        <f>ROUND(L47-K48,1)</f>
        <v>133.69999999999999</v>
      </c>
      <c r="M48" s="23">
        <f t="shared" si="6"/>
        <v>24.2</v>
      </c>
      <c r="N48" s="23">
        <f t="shared" si="7"/>
        <v>24</v>
      </c>
      <c r="O48" s="23">
        <f t="shared" si="8"/>
        <v>0.4</v>
      </c>
      <c r="P48" s="23">
        <f t="shared" si="9"/>
        <v>0.8</v>
      </c>
      <c r="Q48" s="23"/>
      <c r="R48" s="23"/>
    </row>
    <row r="49" spans="1:18" x14ac:dyDescent="0.2">
      <c r="A49" s="23" t="s">
        <v>1</v>
      </c>
      <c r="B49" s="23">
        <v>30</v>
      </c>
      <c r="C49" s="23">
        <v>2</v>
      </c>
      <c r="D49" s="23" t="s">
        <v>40</v>
      </c>
      <c r="E49" s="23">
        <v>240</v>
      </c>
      <c r="F49" s="23">
        <v>4</v>
      </c>
      <c r="G49" s="23">
        <v>1</v>
      </c>
      <c r="H49" s="23">
        <v>29.9</v>
      </c>
      <c r="I49" s="23">
        <f>ROUND(I48-H49,1)</f>
        <v>104.3</v>
      </c>
      <c r="J49" s="23">
        <f t="shared" si="5"/>
        <v>20.399999999999999</v>
      </c>
      <c r="K49" s="23">
        <v>29.1</v>
      </c>
      <c r="L49" s="23">
        <f>ROUND(L48-K49,1)</f>
        <v>104.6</v>
      </c>
      <c r="M49" s="23">
        <f t="shared" si="6"/>
        <v>19.899999999999999</v>
      </c>
      <c r="N49" s="23">
        <f t="shared" si="7"/>
        <v>20.2</v>
      </c>
      <c r="O49" s="23">
        <f t="shared" si="8"/>
        <v>0.4</v>
      </c>
      <c r="P49" s="23">
        <f t="shared" si="9"/>
        <v>0.7</v>
      </c>
      <c r="Q49" s="23"/>
      <c r="R49" s="23"/>
    </row>
    <row r="50" spans="1:18" x14ac:dyDescent="0.2">
      <c r="A50" s="23" t="s">
        <v>1</v>
      </c>
      <c r="B50" s="23">
        <v>30</v>
      </c>
      <c r="C50" s="23">
        <v>2</v>
      </c>
      <c r="D50" s="23" t="s">
        <v>40</v>
      </c>
      <c r="E50" s="23">
        <v>300</v>
      </c>
      <c r="F50" s="23">
        <v>5</v>
      </c>
      <c r="G50" s="23">
        <v>1</v>
      </c>
      <c r="H50" s="23">
        <v>26.2</v>
      </c>
      <c r="I50" s="23">
        <f>ROUND(I49-H50,1)</f>
        <v>78.099999999999994</v>
      </c>
      <c r="J50" s="23">
        <f t="shared" si="5"/>
        <v>17.899999999999999</v>
      </c>
      <c r="K50" s="23">
        <v>27.2</v>
      </c>
      <c r="L50" s="23">
        <f>ROUND(L49-K50,1)</f>
        <v>77.400000000000006</v>
      </c>
      <c r="M50" s="23">
        <f t="shared" si="6"/>
        <v>18.600000000000001</v>
      </c>
      <c r="N50" s="23">
        <f t="shared" si="7"/>
        <v>18.3</v>
      </c>
      <c r="O50" s="23">
        <f t="shared" si="8"/>
        <v>0.5</v>
      </c>
      <c r="P50" s="23">
        <f t="shared" si="9"/>
        <v>0.6</v>
      </c>
      <c r="Q50" s="23"/>
      <c r="R50" s="23"/>
    </row>
    <row r="51" spans="1:18" x14ac:dyDescent="0.2">
      <c r="A51" s="25" t="s">
        <v>1</v>
      </c>
      <c r="B51" s="25">
        <v>30</v>
      </c>
      <c r="C51" s="25">
        <v>2</v>
      </c>
      <c r="D51" s="25" t="s">
        <v>55</v>
      </c>
      <c r="E51" s="25">
        <v>60</v>
      </c>
      <c r="F51" s="25">
        <v>1</v>
      </c>
      <c r="G51" s="25">
        <v>1</v>
      </c>
      <c r="H51" s="25">
        <v>39.700000000000003</v>
      </c>
      <c r="I51" s="25">
        <f>ROUND($B$6-H51,1)</f>
        <v>210.3</v>
      </c>
      <c r="J51" s="25">
        <f t="shared" si="5"/>
        <v>27.1</v>
      </c>
      <c r="K51" s="25">
        <v>39.1</v>
      </c>
      <c r="L51" s="25">
        <f>ROUND($B$6-K51,1)</f>
        <v>210.9</v>
      </c>
      <c r="M51" s="25">
        <f t="shared" si="6"/>
        <v>26.7</v>
      </c>
      <c r="N51" s="25">
        <f t="shared" si="7"/>
        <v>26.9</v>
      </c>
      <c r="O51" s="25">
        <f t="shared" si="8"/>
        <v>0.3</v>
      </c>
      <c r="P51" s="25">
        <f t="shared" si="9"/>
        <v>0.9</v>
      </c>
      <c r="Q51" s="25">
        <f>ROUND(N51/N45*100,1)</f>
        <v>82</v>
      </c>
      <c r="R51" s="25">
        <f>ROUND(STDEV(J51/J45*100,M51/M45*100),1)</f>
        <v>0.4</v>
      </c>
    </row>
    <row r="52" spans="1:18" x14ac:dyDescent="0.2">
      <c r="A52" s="25" t="s">
        <v>1</v>
      </c>
      <c r="B52" s="25">
        <v>30</v>
      </c>
      <c r="C52" s="25">
        <v>2</v>
      </c>
      <c r="D52" s="25" t="s">
        <v>55</v>
      </c>
      <c r="E52" s="25">
        <v>120</v>
      </c>
      <c r="F52" s="25">
        <v>2</v>
      </c>
      <c r="G52" s="25">
        <v>1</v>
      </c>
      <c r="H52" s="25">
        <v>40.4</v>
      </c>
      <c r="I52" s="25">
        <f>ROUND(I51-H52,1)</f>
        <v>169.9</v>
      </c>
      <c r="J52" s="25">
        <f t="shared" si="5"/>
        <v>27.6</v>
      </c>
      <c r="K52" s="25">
        <v>41.2</v>
      </c>
      <c r="L52" s="25">
        <f>ROUND(L51-K52,1)</f>
        <v>169.7</v>
      </c>
      <c r="M52" s="25">
        <f t="shared" si="6"/>
        <v>28.1</v>
      </c>
      <c r="N52" s="25">
        <f t="shared" si="7"/>
        <v>27.9</v>
      </c>
      <c r="O52" s="25">
        <f t="shared" si="8"/>
        <v>0.4</v>
      </c>
      <c r="P52" s="25">
        <f t="shared" si="9"/>
        <v>0.9</v>
      </c>
      <c r="Q52" s="25">
        <f>ROUND(N52/N45*100,1)</f>
        <v>85.1</v>
      </c>
      <c r="R52" s="25">
        <f>ROUND(STDEV(J52/J45*100,M52/M45*100),1)</f>
        <v>2.4</v>
      </c>
    </row>
    <row r="53" spans="1:18" x14ac:dyDescent="0.2">
      <c r="A53" s="21" t="s">
        <v>0</v>
      </c>
      <c r="B53" s="21">
        <v>30</v>
      </c>
      <c r="C53" s="21">
        <v>2</v>
      </c>
      <c r="D53" s="21" t="s">
        <v>39</v>
      </c>
      <c r="E53" s="21">
        <v>300</v>
      </c>
      <c r="F53" s="21">
        <v>5</v>
      </c>
      <c r="G53" s="21">
        <v>1</v>
      </c>
      <c r="H53" s="21">
        <v>48.4</v>
      </c>
      <c r="I53" s="21"/>
      <c r="J53" s="21">
        <f t="shared" si="5"/>
        <v>33.1</v>
      </c>
      <c r="K53" s="21">
        <v>47.9</v>
      </c>
      <c r="L53" s="21"/>
      <c r="M53" s="21">
        <f t="shared" si="6"/>
        <v>32.700000000000003</v>
      </c>
      <c r="N53" s="21">
        <f t="shared" si="7"/>
        <v>32.9</v>
      </c>
      <c r="O53" s="21">
        <f t="shared" si="8"/>
        <v>0.3</v>
      </c>
      <c r="P53" s="21">
        <f t="shared" si="9"/>
        <v>1.1000000000000001</v>
      </c>
      <c r="Q53" s="21"/>
      <c r="R53" s="21"/>
    </row>
    <row r="54" spans="1:18" x14ac:dyDescent="0.2">
      <c r="A54" s="23" t="s">
        <v>0</v>
      </c>
      <c r="B54" s="23">
        <v>30</v>
      </c>
      <c r="C54" s="23">
        <v>2</v>
      </c>
      <c r="D54" s="23" t="s">
        <v>40</v>
      </c>
      <c r="E54" s="23">
        <v>60</v>
      </c>
      <c r="F54" s="23">
        <v>1</v>
      </c>
      <c r="G54" s="23">
        <v>1</v>
      </c>
      <c r="H54" s="23">
        <v>43.3</v>
      </c>
      <c r="I54" s="23">
        <f>ROUND($B$6-H54,1)</f>
        <v>206.7</v>
      </c>
      <c r="J54" s="23">
        <f t="shared" si="5"/>
        <v>29.6</v>
      </c>
      <c r="K54" s="23">
        <v>44.4</v>
      </c>
      <c r="L54" s="23">
        <f>ROUND($B$6-K54,1)</f>
        <v>205.6</v>
      </c>
      <c r="M54" s="23">
        <f t="shared" si="6"/>
        <v>30.3</v>
      </c>
      <c r="N54" s="23">
        <f t="shared" si="7"/>
        <v>30</v>
      </c>
      <c r="O54" s="23">
        <f t="shared" si="8"/>
        <v>0.5</v>
      </c>
      <c r="P54" s="23">
        <f t="shared" si="9"/>
        <v>1</v>
      </c>
      <c r="Q54" s="23"/>
      <c r="R54" s="23"/>
    </row>
    <row r="55" spans="1:18" x14ac:dyDescent="0.2">
      <c r="A55" s="23" t="s">
        <v>0</v>
      </c>
      <c r="B55" s="23">
        <v>30</v>
      </c>
      <c r="C55" s="23">
        <v>2</v>
      </c>
      <c r="D55" s="23" t="s">
        <v>40</v>
      </c>
      <c r="E55" s="23">
        <v>120</v>
      </c>
      <c r="F55" s="23">
        <v>2</v>
      </c>
      <c r="G55" s="23">
        <v>1</v>
      </c>
      <c r="H55" s="23">
        <v>40.1</v>
      </c>
      <c r="I55" s="23">
        <f>ROUND(I54-H55,1)</f>
        <v>166.6</v>
      </c>
      <c r="J55" s="23">
        <f t="shared" si="5"/>
        <v>27.4</v>
      </c>
      <c r="K55" s="23">
        <v>39.700000000000003</v>
      </c>
      <c r="L55" s="23">
        <f>ROUND(L54-K55,1)</f>
        <v>165.9</v>
      </c>
      <c r="M55" s="23">
        <f t="shared" si="6"/>
        <v>27.1</v>
      </c>
      <c r="N55" s="23">
        <f t="shared" si="7"/>
        <v>27.3</v>
      </c>
      <c r="O55" s="23">
        <f t="shared" si="8"/>
        <v>0.2</v>
      </c>
      <c r="P55" s="23">
        <f t="shared" si="9"/>
        <v>0.9</v>
      </c>
      <c r="Q55" s="23"/>
      <c r="R55" s="23"/>
    </row>
    <row r="56" spans="1:18" x14ac:dyDescent="0.2">
      <c r="A56" s="23" t="s">
        <v>0</v>
      </c>
      <c r="B56" s="23">
        <v>30</v>
      </c>
      <c r="C56" s="23">
        <v>2</v>
      </c>
      <c r="D56" s="23" t="s">
        <v>40</v>
      </c>
      <c r="E56" s="23">
        <v>180</v>
      </c>
      <c r="F56" s="23">
        <v>3</v>
      </c>
      <c r="G56" s="23">
        <v>1</v>
      </c>
      <c r="H56" s="23">
        <v>34.1</v>
      </c>
      <c r="I56" s="23">
        <f>ROUND(I55-H56,1)</f>
        <v>132.5</v>
      </c>
      <c r="J56" s="23">
        <f t="shared" si="5"/>
        <v>23.3</v>
      </c>
      <c r="K56" s="23">
        <v>34.700000000000003</v>
      </c>
      <c r="L56" s="23">
        <f>ROUND(L55-K56,1)</f>
        <v>131.19999999999999</v>
      </c>
      <c r="M56" s="23">
        <f t="shared" si="6"/>
        <v>23.7</v>
      </c>
      <c r="N56" s="23">
        <f t="shared" si="7"/>
        <v>23.5</v>
      </c>
      <c r="O56" s="23">
        <f t="shared" si="8"/>
        <v>0.3</v>
      </c>
      <c r="P56" s="23">
        <f t="shared" si="9"/>
        <v>0.8</v>
      </c>
      <c r="Q56" s="23"/>
      <c r="R56" s="23"/>
    </row>
    <row r="57" spans="1:18" x14ac:dyDescent="0.2">
      <c r="A57" s="23" t="s">
        <v>0</v>
      </c>
      <c r="B57" s="23">
        <v>30</v>
      </c>
      <c r="C57" s="23">
        <v>2</v>
      </c>
      <c r="D57" s="23" t="s">
        <v>40</v>
      </c>
      <c r="E57" s="23">
        <v>240</v>
      </c>
      <c r="F57" s="23">
        <v>4</v>
      </c>
      <c r="G57" s="23">
        <v>1</v>
      </c>
      <c r="H57" s="23">
        <v>32.4</v>
      </c>
      <c r="I57" s="23">
        <f>ROUND(I56-H57,1)</f>
        <v>100.1</v>
      </c>
      <c r="J57" s="23">
        <f t="shared" si="5"/>
        <v>22.1</v>
      </c>
      <c r="K57" s="23">
        <v>31.7</v>
      </c>
      <c r="L57" s="23">
        <f>ROUND(L56-K57,1)</f>
        <v>99.5</v>
      </c>
      <c r="M57" s="23">
        <f t="shared" si="6"/>
        <v>21.7</v>
      </c>
      <c r="N57" s="23">
        <f t="shared" si="7"/>
        <v>21.9</v>
      </c>
      <c r="O57" s="23">
        <f t="shared" si="8"/>
        <v>0.3</v>
      </c>
      <c r="P57" s="23">
        <f t="shared" si="9"/>
        <v>0.7</v>
      </c>
      <c r="Q57" s="23"/>
      <c r="R57" s="23"/>
    </row>
    <row r="58" spans="1:18" x14ac:dyDescent="0.2">
      <c r="A58" s="23" t="s">
        <v>0</v>
      </c>
      <c r="B58" s="23">
        <v>30</v>
      </c>
      <c r="C58" s="23">
        <v>2</v>
      </c>
      <c r="D58" s="23" t="s">
        <v>40</v>
      </c>
      <c r="E58" s="23">
        <v>300</v>
      </c>
      <c r="F58" s="23">
        <v>5</v>
      </c>
      <c r="G58" s="23">
        <v>1</v>
      </c>
      <c r="H58" s="23">
        <v>29.4</v>
      </c>
      <c r="I58" s="23">
        <f>ROUND(I57-H58,1)</f>
        <v>70.7</v>
      </c>
      <c r="J58" s="23">
        <f t="shared" si="5"/>
        <v>20.100000000000001</v>
      </c>
      <c r="K58" s="23">
        <v>30.2</v>
      </c>
      <c r="L58" s="23">
        <f>ROUND(L57-K58,1)</f>
        <v>69.3</v>
      </c>
      <c r="M58" s="23">
        <f t="shared" si="6"/>
        <v>20.6</v>
      </c>
      <c r="N58" s="23">
        <f t="shared" si="7"/>
        <v>20.399999999999999</v>
      </c>
      <c r="O58" s="23">
        <f t="shared" si="8"/>
        <v>0.4</v>
      </c>
      <c r="P58" s="23">
        <f t="shared" si="9"/>
        <v>0.7</v>
      </c>
      <c r="Q58" s="23"/>
      <c r="R58" s="23"/>
    </row>
    <row r="59" spans="1:18" x14ac:dyDescent="0.2">
      <c r="A59" s="25" t="s">
        <v>0</v>
      </c>
      <c r="B59" s="25">
        <v>30</v>
      </c>
      <c r="C59" s="25">
        <v>2</v>
      </c>
      <c r="D59" s="25" t="s">
        <v>55</v>
      </c>
      <c r="E59" s="25">
        <v>60</v>
      </c>
      <c r="F59" s="25">
        <v>1</v>
      </c>
      <c r="G59" s="25">
        <v>1</v>
      </c>
      <c r="H59" s="25">
        <v>45.5</v>
      </c>
      <c r="I59" s="25">
        <f>ROUND($B$6-H59,1)</f>
        <v>204.5</v>
      </c>
      <c r="J59" s="25">
        <f t="shared" si="5"/>
        <v>31.1</v>
      </c>
      <c r="K59" s="25">
        <v>44.6</v>
      </c>
      <c r="L59" s="25">
        <f>ROUND($B$6-K59,1)</f>
        <v>205.4</v>
      </c>
      <c r="M59" s="25">
        <f t="shared" si="6"/>
        <v>30.5</v>
      </c>
      <c r="N59" s="25">
        <f t="shared" si="7"/>
        <v>30.8</v>
      </c>
      <c r="O59" s="25">
        <f t="shared" si="8"/>
        <v>0.4</v>
      </c>
      <c r="P59" s="25">
        <f t="shared" si="9"/>
        <v>1</v>
      </c>
      <c r="Q59" s="25">
        <f>ROUND(N59/N53*100,1)</f>
        <v>93.6</v>
      </c>
      <c r="R59" s="25">
        <f>ROUND(STDEV(J59/J53*100,M59/M53*100),1)</f>
        <v>0.5</v>
      </c>
    </row>
    <row r="60" spans="1:18" x14ac:dyDescent="0.2">
      <c r="A60" s="25" t="s">
        <v>0</v>
      </c>
      <c r="B60" s="25">
        <v>30</v>
      </c>
      <c r="C60" s="25">
        <v>2</v>
      </c>
      <c r="D60" s="25" t="s">
        <v>55</v>
      </c>
      <c r="E60" s="25">
        <v>120</v>
      </c>
      <c r="F60" s="25">
        <v>2</v>
      </c>
      <c r="G60" s="25">
        <v>1</v>
      </c>
      <c r="H60" s="25">
        <v>45.4</v>
      </c>
      <c r="I60" s="25">
        <f>ROUND(I59-H60,1)</f>
        <v>159.1</v>
      </c>
      <c r="J60" s="25">
        <f t="shared" si="5"/>
        <v>31</v>
      </c>
      <c r="K60" s="25">
        <v>46.1</v>
      </c>
      <c r="L60" s="25">
        <f>ROUND(L59-K60,1)</f>
        <v>159.30000000000001</v>
      </c>
      <c r="M60" s="25">
        <f t="shared" si="6"/>
        <v>31.5</v>
      </c>
      <c r="N60" s="25">
        <f t="shared" si="7"/>
        <v>31.3</v>
      </c>
      <c r="O60" s="25">
        <f t="shared" si="8"/>
        <v>0.4</v>
      </c>
      <c r="P60" s="25">
        <f t="shared" si="9"/>
        <v>1</v>
      </c>
      <c r="Q60" s="25">
        <f>ROUND(N60/N53*100,1)</f>
        <v>95.1</v>
      </c>
      <c r="R60" s="25">
        <f>ROUND(STDEV(J60/J53*100,M60/M53*100),1)</f>
        <v>1.9</v>
      </c>
    </row>
    <row r="61" spans="1:18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spans="1:18" x14ac:dyDescent="0.2">
      <c r="A62" s="34" t="s">
        <v>63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1:18" ht="34" x14ac:dyDescent="0.2">
      <c r="A63" s="33" t="s">
        <v>19</v>
      </c>
      <c r="B63" s="33" t="s">
        <v>26</v>
      </c>
      <c r="C63" s="33" t="s">
        <v>53</v>
      </c>
      <c r="D63" s="33" t="s">
        <v>27</v>
      </c>
      <c r="E63" s="33" t="s">
        <v>28</v>
      </c>
      <c r="F63" s="33" t="s">
        <v>4</v>
      </c>
      <c r="G63" s="33" t="s">
        <v>29</v>
      </c>
      <c r="H63" s="33" t="s">
        <v>30</v>
      </c>
      <c r="I63" s="33" t="s">
        <v>31</v>
      </c>
      <c r="J63" s="33" t="s">
        <v>32</v>
      </c>
      <c r="K63" s="33" t="s">
        <v>33</v>
      </c>
      <c r="L63" s="33" t="s">
        <v>34</v>
      </c>
      <c r="M63" s="33" t="s">
        <v>35</v>
      </c>
      <c r="N63" s="33" t="s">
        <v>36</v>
      </c>
      <c r="O63" s="33" t="s">
        <v>37</v>
      </c>
      <c r="P63" s="33" t="s">
        <v>38</v>
      </c>
      <c r="Q63" s="33" t="s">
        <v>54</v>
      </c>
      <c r="R63" s="33" t="s">
        <v>44</v>
      </c>
    </row>
    <row r="64" spans="1:18" x14ac:dyDescent="0.2">
      <c r="A64" s="21" t="s">
        <v>5</v>
      </c>
      <c r="B64" s="21">
        <v>12</v>
      </c>
      <c r="C64" s="21">
        <v>2</v>
      </c>
      <c r="D64" s="21" t="s">
        <v>39</v>
      </c>
      <c r="E64" s="21">
        <v>300</v>
      </c>
      <c r="F64" s="21">
        <v>5</v>
      </c>
      <c r="G64" s="21">
        <v>1</v>
      </c>
      <c r="H64" s="21">
        <v>47.7</v>
      </c>
      <c r="I64" s="21"/>
      <c r="J64" s="21">
        <f t="shared" ref="J64:J87" si="10">ROUND(H64/1000/$B$2/G64,1)</f>
        <v>32.6</v>
      </c>
      <c r="K64" s="21">
        <v>48.2</v>
      </c>
      <c r="L64" s="21"/>
      <c r="M64" s="21">
        <f t="shared" ref="M64:M87" si="11">ROUND(K64/1000/$B$2/G64,1)</f>
        <v>32.9</v>
      </c>
      <c r="N64" s="21">
        <f t="shared" ref="N64:N87" si="12">ROUND(AVERAGE(J64,M64),1)</f>
        <v>32.799999999999997</v>
      </c>
      <c r="O64" s="21">
        <f t="shared" ref="O64:O87" si="13">ROUND(STDEV(J64,M64),1)</f>
        <v>0.2</v>
      </c>
      <c r="P64" s="21">
        <f t="shared" ref="P64:P87" si="14">ROUND(N64/B64,1)</f>
        <v>2.7</v>
      </c>
      <c r="Q64" s="21"/>
      <c r="R64" s="21"/>
    </row>
    <row r="65" spans="1:18" x14ac:dyDescent="0.2">
      <c r="A65" s="23" t="s">
        <v>5</v>
      </c>
      <c r="B65" s="23">
        <v>12</v>
      </c>
      <c r="C65" s="23">
        <v>2</v>
      </c>
      <c r="D65" s="23" t="s">
        <v>40</v>
      </c>
      <c r="E65" s="23">
        <v>60</v>
      </c>
      <c r="F65" s="23">
        <v>1</v>
      </c>
      <c r="G65" s="23">
        <v>1</v>
      </c>
      <c r="H65" s="23">
        <v>44.1</v>
      </c>
      <c r="I65" s="23">
        <f>ROUND($B$6-H65,1)</f>
        <v>205.9</v>
      </c>
      <c r="J65" s="23">
        <f t="shared" si="10"/>
        <v>30.1</v>
      </c>
      <c r="K65" s="23">
        <v>43.1</v>
      </c>
      <c r="L65" s="23">
        <f>ROUND($B$6-K65,1)</f>
        <v>206.9</v>
      </c>
      <c r="M65" s="23">
        <f t="shared" si="11"/>
        <v>29.4</v>
      </c>
      <c r="N65" s="23">
        <f t="shared" si="12"/>
        <v>29.8</v>
      </c>
      <c r="O65" s="23">
        <f t="shared" si="13"/>
        <v>0.5</v>
      </c>
      <c r="P65" s="23">
        <f t="shared" si="14"/>
        <v>2.5</v>
      </c>
      <c r="Q65" s="23"/>
      <c r="R65" s="23"/>
    </row>
    <row r="66" spans="1:18" x14ac:dyDescent="0.2">
      <c r="A66" s="23" t="s">
        <v>5</v>
      </c>
      <c r="B66" s="23">
        <v>12</v>
      </c>
      <c r="C66" s="23">
        <v>2</v>
      </c>
      <c r="D66" s="23" t="s">
        <v>40</v>
      </c>
      <c r="E66" s="23">
        <v>120</v>
      </c>
      <c r="F66" s="23">
        <v>2</v>
      </c>
      <c r="G66" s="23">
        <v>1</v>
      </c>
      <c r="H66" s="23">
        <v>34.1</v>
      </c>
      <c r="I66" s="23">
        <f>ROUND(I65-H66,1)</f>
        <v>171.8</v>
      </c>
      <c r="J66" s="23">
        <f t="shared" si="10"/>
        <v>23.3</v>
      </c>
      <c r="K66" s="23">
        <v>34.6</v>
      </c>
      <c r="L66" s="23">
        <f>ROUND(L65-K66,1)</f>
        <v>172.3</v>
      </c>
      <c r="M66" s="23">
        <f t="shared" si="11"/>
        <v>23.6</v>
      </c>
      <c r="N66" s="23">
        <f t="shared" si="12"/>
        <v>23.5</v>
      </c>
      <c r="O66" s="23">
        <f t="shared" si="13"/>
        <v>0.2</v>
      </c>
      <c r="P66" s="23">
        <f t="shared" si="14"/>
        <v>2</v>
      </c>
      <c r="Q66" s="23"/>
      <c r="R66" s="23"/>
    </row>
    <row r="67" spans="1:18" x14ac:dyDescent="0.2">
      <c r="A67" s="23" t="s">
        <v>5</v>
      </c>
      <c r="B67" s="23">
        <v>12</v>
      </c>
      <c r="C67" s="23">
        <v>2</v>
      </c>
      <c r="D67" s="23" t="s">
        <v>40</v>
      </c>
      <c r="E67" s="23">
        <v>180</v>
      </c>
      <c r="F67" s="23">
        <v>3</v>
      </c>
      <c r="G67" s="23">
        <v>1</v>
      </c>
      <c r="H67" s="23">
        <v>29.9</v>
      </c>
      <c r="I67" s="23">
        <f>ROUND(I66-H67,1)</f>
        <v>141.9</v>
      </c>
      <c r="J67" s="23">
        <f t="shared" si="10"/>
        <v>20.399999999999999</v>
      </c>
      <c r="K67" s="23">
        <v>29.3</v>
      </c>
      <c r="L67" s="23">
        <f>ROUND(L66-K67,1)</f>
        <v>143</v>
      </c>
      <c r="M67" s="23">
        <f t="shared" si="11"/>
        <v>20</v>
      </c>
      <c r="N67" s="23">
        <f t="shared" si="12"/>
        <v>20.2</v>
      </c>
      <c r="O67" s="23">
        <f t="shared" si="13"/>
        <v>0.3</v>
      </c>
      <c r="P67" s="23">
        <f t="shared" si="14"/>
        <v>1.7</v>
      </c>
      <c r="Q67" s="23"/>
      <c r="R67" s="23"/>
    </row>
    <row r="68" spans="1:18" x14ac:dyDescent="0.2">
      <c r="A68" s="23" t="s">
        <v>5</v>
      </c>
      <c r="B68" s="23">
        <v>12</v>
      </c>
      <c r="C68" s="23">
        <v>2</v>
      </c>
      <c r="D68" s="23" t="s">
        <v>40</v>
      </c>
      <c r="E68" s="23">
        <v>240</v>
      </c>
      <c r="F68" s="23">
        <v>4</v>
      </c>
      <c r="G68" s="23">
        <v>1</v>
      </c>
      <c r="H68" s="23">
        <v>18.8</v>
      </c>
      <c r="I68" s="23">
        <f>ROUND(I67-H68,1)</f>
        <v>123.1</v>
      </c>
      <c r="J68" s="23">
        <f t="shared" si="10"/>
        <v>12.8</v>
      </c>
      <c r="K68" s="23">
        <v>19.5</v>
      </c>
      <c r="L68" s="23">
        <f>ROUND(L67-K68,1)</f>
        <v>123.5</v>
      </c>
      <c r="M68" s="23">
        <f t="shared" si="11"/>
        <v>13.3</v>
      </c>
      <c r="N68" s="23">
        <f t="shared" si="12"/>
        <v>13.1</v>
      </c>
      <c r="O68" s="23">
        <f t="shared" si="13"/>
        <v>0.4</v>
      </c>
      <c r="P68" s="23">
        <f t="shared" si="14"/>
        <v>1.1000000000000001</v>
      </c>
      <c r="Q68" s="23"/>
      <c r="R68" s="23"/>
    </row>
    <row r="69" spans="1:18" x14ac:dyDescent="0.2">
      <c r="A69" s="23" t="s">
        <v>5</v>
      </c>
      <c r="B69" s="23">
        <v>12</v>
      </c>
      <c r="C69" s="23">
        <v>2</v>
      </c>
      <c r="D69" s="23" t="s">
        <v>40</v>
      </c>
      <c r="E69" s="23">
        <v>300</v>
      </c>
      <c r="F69" s="23">
        <v>5</v>
      </c>
      <c r="G69" s="23">
        <v>1</v>
      </c>
      <c r="H69" s="23">
        <v>15.9</v>
      </c>
      <c r="I69" s="23">
        <f>ROUND(I68-H69,1)</f>
        <v>107.2</v>
      </c>
      <c r="J69" s="23">
        <f t="shared" si="10"/>
        <v>10.9</v>
      </c>
      <c r="K69" s="23">
        <v>15.1</v>
      </c>
      <c r="L69" s="23">
        <f>ROUND(L68-K69,1)</f>
        <v>108.4</v>
      </c>
      <c r="M69" s="23">
        <f t="shared" si="11"/>
        <v>10.3</v>
      </c>
      <c r="N69" s="23">
        <f t="shared" si="12"/>
        <v>10.6</v>
      </c>
      <c r="O69" s="23">
        <f t="shared" si="13"/>
        <v>0.4</v>
      </c>
      <c r="P69" s="23">
        <f t="shared" si="14"/>
        <v>0.9</v>
      </c>
      <c r="Q69" s="23"/>
      <c r="R69" s="23"/>
    </row>
    <row r="70" spans="1:18" x14ac:dyDescent="0.2">
      <c r="A70" s="25" t="s">
        <v>5</v>
      </c>
      <c r="B70" s="25">
        <v>12</v>
      </c>
      <c r="C70" s="25">
        <v>2</v>
      </c>
      <c r="D70" s="25" t="s">
        <v>55</v>
      </c>
      <c r="E70" s="25">
        <v>60</v>
      </c>
      <c r="F70" s="25">
        <v>1</v>
      </c>
      <c r="G70" s="25">
        <v>1</v>
      </c>
      <c r="H70" s="25">
        <v>37.5</v>
      </c>
      <c r="I70" s="25">
        <f>ROUND($B$6-H70,1)</f>
        <v>212.5</v>
      </c>
      <c r="J70" s="25">
        <f t="shared" si="10"/>
        <v>25.6</v>
      </c>
      <c r="K70" s="25">
        <v>38.4</v>
      </c>
      <c r="L70" s="25">
        <f>ROUND($B$6-K70,1)</f>
        <v>211.6</v>
      </c>
      <c r="M70" s="25">
        <f t="shared" si="11"/>
        <v>26.2</v>
      </c>
      <c r="N70" s="25">
        <f t="shared" si="12"/>
        <v>25.9</v>
      </c>
      <c r="O70" s="25">
        <f t="shared" si="13"/>
        <v>0.4</v>
      </c>
      <c r="P70" s="25">
        <f t="shared" si="14"/>
        <v>2.2000000000000002</v>
      </c>
      <c r="Q70" s="25">
        <f>ROUND(N70/N64*100,1)</f>
        <v>79</v>
      </c>
      <c r="R70" s="25">
        <f>ROUND(STDEV(J70/J64*100,M70/M64*100),1)</f>
        <v>0.8</v>
      </c>
    </row>
    <row r="71" spans="1:18" x14ac:dyDescent="0.2">
      <c r="A71" s="25" t="s">
        <v>5</v>
      </c>
      <c r="B71" s="25">
        <v>12</v>
      </c>
      <c r="C71" s="25">
        <v>2</v>
      </c>
      <c r="D71" s="25" t="s">
        <v>55</v>
      </c>
      <c r="E71" s="25">
        <v>120</v>
      </c>
      <c r="F71" s="25">
        <v>2</v>
      </c>
      <c r="G71" s="25">
        <v>1</v>
      </c>
      <c r="H71" s="25">
        <v>39.700000000000003</v>
      </c>
      <c r="I71" s="25">
        <f>ROUND(I70-H71,1)</f>
        <v>172.8</v>
      </c>
      <c r="J71" s="25">
        <f t="shared" si="10"/>
        <v>27.1</v>
      </c>
      <c r="K71" s="25">
        <v>39</v>
      </c>
      <c r="L71" s="25">
        <f>ROUND(L70-K71,1)</f>
        <v>172.6</v>
      </c>
      <c r="M71" s="25">
        <f t="shared" si="11"/>
        <v>26.6</v>
      </c>
      <c r="N71" s="25">
        <f t="shared" si="12"/>
        <v>26.9</v>
      </c>
      <c r="O71" s="25">
        <f t="shared" si="13"/>
        <v>0.4</v>
      </c>
      <c r="P71" s="25">
        <f t="shared" si="14"/>
        <v>2.2000000000000002</v>
      </c>
      <c r="Q71" s="25">
        <f>ROUND(N71/N64*100,1)</f>
        <v>82</v>
      </c>
      <c r="R71" s="25">
        <f>ROUND(STDEV(J71/J64*100,M71/M64*100),1)</f>
        <v>1.6</v>
      </c>
    </row>
    <row r="72" spans="1:18" x14ac:dyDescent="0.2">
      <c r="A72" s="21" t="s">
        <v>1</v>
      </c>
      <c r="B72" s="21">
        <v>30</v>
      </c>
      <c r="C72" s="21">
        <v>2</v>
      </c>
      <c r="D72" s="21" t="s">
        <v>39</v>
      </c>
      <c r="E72" s="21">
        <v>300</v>
      </c>
      <c r="F72" s="21">
        <v>5</v>
      </c>
      <c r="G72" s="21">
        <v>1</v>
      </c>
      <c r="H72" s="21">
        <v>47.8</v>
      </c>
      <c r="I72" s="21"/>
      <c r="J72" s="21">
        <f t="shared" si="10"/>
        <v>32.700000000000003</v>
      </c>
      <c r="K72" s="21">
        <v>48.5</v>
      </c>
      <c r="L72" s="21"/>
      <c r="M72" s="21">
        <f t="shared" si="11"/>
        <v>33.1</v>
      </c>
      <c r="N72" s="21">
        <f t="shared" si="12"/>
        <v>32.9</v>
      </c>
      <c r="O72" s="21">
        <f t="shared" si="13"/>
        <v>0.3</v>
      </c>
      <c r="P72" s="21">
        <f t="shared" si="14"/>
        <v>1.1000000000000001</v>
      </c>
      <c r="Q72" s="21"/>
      <c r="R72" s="21"/>
    </row>
    <row r="73" spans="1:18" x14ac:dyDescent="0.2">
      <c r="A73" s="23" t="s">
        <v>1</v>
      </c>
      <c r="B73" s="23">
        <v>30</v>
      </c>
      <c r="C73" s="23">
        <v>2</v>
      </c>
      <c r="D73" s="23" t="s">
        <v>40</v>
      </c>
      <c r="E73" s="23">
        <v>60</v>
      </c>
      <c r="F73" s="23">
        <v>1</v>
      </c>
      <c r="G73" s="23">
        <v>1</v>
      </c>
      <c r="H73" s="23">
        <v>43.4</v>
      </c>
      <c r="I73" s="23">
        <f>ROUND($B$6-H73,1)</f>
        <v>206.6</v>
      </c>
      <c r="J73" s="23">
        <f t="shared" si="10"/>
        <v>29.6</v>
      </c>
      <c r="K73" s="23">
        <v>42.9</v>
      </c>
      <c r="L73" s="23">
        <f>ROUND($B$6-K73,1)</f>
        <v>207.1</v>
      </c>
      <c r="M73" s="23">
        <f t="shared" si="11"/>
        <v>29.3</v>
      </c>
      <c r="N73" s="23">
        <f t="shared" si="12"/>
        <v>29.5</v>
      </c>
      <c r="O73" s="23">
        <f t="shared" si="13"/>
        <v>0.2</v>
      </c>
      <c r="P73" s="23">
        <f t="shared" si="14"/>
        <v>1</v>
      </c>
      <c r="Q73" s="23"/>
      <c r="R73" s="23"/>
    </row>
    <row r="74" spans="1:18" x14ac:dyDescent="0.2">
      <c r="A74" s="23" t="s">
        <v>1</v>
      </c>
      <c r="B74" s="23">
        <v>30</v>
      </c>
      <c r="C74" s="23">
        <v>2</v>
      </c>
      <c r="D74" s="23" t="s">
        <v>40</v>
      </c>
      <c r="E74" s="23">
        <v>120</v>
      </c>
      <c r="F74" s="23">
        <v>2</v>
      </c>
      <c r="G74" s="23">
        <v>1</v>
      </c>
      <c r="H74" s="23">
        <v>37.4</v>
      </c>
      <c r="I74" s="23">
        <f>ROUND(I73-H74,1)</f>
        <v>169.2</v>
      </c>
      <c r="J74" s="23">
        <f t="shared" si="10"/>
        <v>25.5</v>
      </c>
      <c r="K74" s="23">
        <v>38.5</v>
      </c>
      <c r="L74" s="23">
        <f>ROUND(L73-K74,1)</f>
        <v>168.6</v>
      </c>
      <c r="M74" s="23">
        <f t="shared" si="11"/>
        <v>26.3</v>
      </c>
      <c r="N74" s="23">
        <f t="shared" si="12"/>
        <v>25.9</v>
      </c>
      <c r="O74" s="23">
        <f t="shared" si="13"/>
        <v>0.6</v>
      </c>
      <c r="P74" s="23">
        <f t="shared" si="14"/>
        <v>0.9</v>
      </c>
      <c r="Q74" s="23"/>
      <c r="R74" s="23"/>
    </row>
    <row r="75" spans="1:18" x14ac:dyDescent="0.2">
      <c r="A75" s="23" t="s">
        <v>1</v>
      </c>
      <c r="B75" s="23">
        <v>30</v>
      </c>
      <c r="C75" s="23">
        <v>2</v>
      </c>
      <c r="D75" s="23" t="s">
        <v>40</v>
      </c>
      <c r="E75" s="23">
        <v>180</v>
      </c>
      <c r="F75" s="23">
        <v>3</v>
      </c>
      <c r="G75" s="23">
        <v>1</v>
      </c>
      <c r="H75" s="23">
        <v>35.4</v>
      </c>
      <c r="I75" s="23">
        <f>ROUND(I74-H75,1)</f>
        <v>133.80000000000001</v>
      </c>
      <c r="J75" s="23">
        <f t="shared" si="10"/>
        <v>24.2</v>
      </c>
      <c r="K75" s="23">
        <v>35</v>
      </c>
      <c r="L75" s="23">
        <f>ROUND(L74-K75,1)</f>
        <v>133.6</v>
      </c>
      <c r="M75" s="23">
        <f t="shared" si="11"/>
        <v>23.9</v>
      </c>
      <c r="N75" s="23">
        <f t="shared" si="12"/>
        <v>24.1</v>
      </c>
      <c r="O75" s="23">
        <f t="shared" si="13"/>
        <v>0.2</v>
      </c>
      <c r="P75" s="23">
        <f t="shared" si="14"/>
        <v>0.8</v>
      </c>
      <c r="Q75" s="23"/>
      <c r="R75" s="23"/>
    </row>
    <row r="76" spans="1:18" x14ac:dyDescent="0.2">
      <c r="A76" s="23" t="s">
        <v>1</v>
      </c>
      <c r="B76" s="23">
        <v>30</v>
      </c>
      <c r="C76" s="23">
        <v>2</v>
      </c>
      <c r="D76" s="23" t="s">
        <v>40</v>
      </c>
      <c r="E76" s="23">
        <v>240</v>
      </c>
      <c r="F76" s="23">
        <v>4</v>
      </c>
      <c r="G76" s="23">
        <v>1</v>
      </c>
      <c r="H76" s="23">
        <v>29.3</v>
      </c>
      <c r="I76" s="23">
        <f>ROUND(I75-H76,1)</f>
        <v>104.5</v>
      </c>
      <c r="J76" s="23">
        <f t="shared" si="10"/>
        <v>20</v>
      </c>
      <c r="K76" s="23">
        <v>29.9</v>
      </c>
      <c r="L76" s="23">
        <f>ROUND(L75-K76,1)</f>
        <v>103.7</v>
      </c>
      <c r="M76" s="23">
        <f t="shared" si="11"/>
        <v>20.399999999999999</v>
      </c>
      <c r="N76" s="23">
        <f t="shared" si="12"/>
        <v>20.2</v>
      </c>
      <c r="O76" s="23">
        <f t="shared" si="13"/>
        <v>0.3</v>
      </c>
      <c r="P76" s="23">
        <f t="shared" si="14"/>
        <v>0.7</v>
      </c>
      <c r="Q76" s="23"/>
      <c r="R76" s="23"/>
    </row>
    <row r="77" spans="1:18" x14ac:dyDescent="0.2">
      <c r="A77" s="23" t="s">
        <v>1</v>
      </c>
      <c r="B77" s="23">
        <v>30</v>
      </c>
      <c r="C77" s="23">
        <v>2</v>
      </c>
      <c r="D77" s="23" t="s">
        <v>40</v>
      </c>
      <c r="E77" s="23">
        <v>300</v>
      </c>
      <c r="F77" s="23">
        <v>5</v>
      </c>
      <c r="G77" s="23">
        <v>1</v>
      </c>
      <c r="H77" s="23">
        <v>27.2</v>
      </c>
      <c r="I77" s="23">
        <f>ROUND(I76-H77,1)</f>
        <v>77.3</v>
      </c>
      <c r="J77" s="23">
        <f t="shared" si="10"/>
        <v>18.600000000000001</v>
      </c>
      <c r="K77" s="23">
        <v>26.5</v>
      </c>
      <c r="L77" s="23">
        <f>ROUND(L76-K77,1)</f>
        <v>77.2</v>
      </c>
      <c r="M77" s="23">
        <f t="shared" si="11"/>
        <v>18.100000000000001</v>
      </c>
      <c r="N77" s="23">
        <f t="shared" si="12"/>
        <v>18.399999999999999</v>
      </c>
      <c r="O77" s="23">
        <f t="shared" si="13"/>
        <v>0.4</v>
      </c>
      <c r="P77" s="23">
        <f t="shared" si="14"/>
        <v>0.6</v>
      </c>
      <c r="Q77" s="23"/>
      <c r="R77" s="23"/>
    </row>
    <row r="78" spans="1:18" x14ac:dyDescent="0.2">
      <c r="A78" s="25" t="s">
        <v>1</v>
      </c>
      <c r="B78" s="25">
        <v>30</v>
      </c>
      <c r="C78" s="25">
        <v>2</v>
      </c>
      <c r="D78" s="25" t="s">
        <v>55</v>
      </c>
      <c r="E78" s="25">
        <v>60</v>
      </c>
      <c r="F78" s="25">
        <v>1</v>
      </c>
      <c r="G78" s="25">
        <v>1</v>
      </c>
      <c r="H78" s="25">
        <v>41.4</v>
      </c>
      <c r="I78" s="25">
        <f>ROUND($B$6-H78,1)</f>
        <v>208.6</v>
      </c>
      <c r="J78" s="25">
        <f t="shared" si="10"/>
        <v>28.3</v>
      </c>
      <c r="K78" s="25">
        <v>42.2</v>
      </c>
      <c r="L78" s="25">
        <f>ROUND($B$6-K78,1)</f>
        <v>207.8</v>
      </c>
      <c r="M78" s="25">
        <f t="shared" si="11"/>
        <v>28.8</v>
      </c>
      <c r="N78" s="25">
        <f t="shared" si="12"/>
        <v>28.6</v>
      </c>
      <c r="O78" s="25">
        <f t="shared" si="13"/>
        <v>0.4</v>
      </c>
      <c r="P78" s="25">
        <f t="shared" si="14"/>
        <v>1</v>
      </c>
      <c r="Q78" s="25">
        <f>ROUND(N78/N72*100,1)</f>
        <v>86.9</v>
      </c>
      <c r="R78" s="25">
        <f>ROUND(STDEV(J78/J72*100,M78/M72*100),1)</f>
        <v>0.3</v>
      </c>
    </row>
    <row r="79" spans="1:18" x14ac:dyDescent="0.2">
      <c r="A79" s="25" t="s">
        <v>1</v>
      </c>
      <c r="B79" s="25">
        <v>30</v>
      </c>
      <c r="C79" s="25">
        <v>2</v>
      </c>
      <c r="D79" s="25" t="s">
        <v>55</v>
      </c>
      <c r="E79" s="25">
        <v>120</v>
      </c>
      <c r="F79" s="25">
        <v>2</v>
      </c>
      <c r="G79" s="25">
        <v>1</v>
      </c>
      <c r="H79" s="25">
        <v>43.8</v>
      </c>
      <c r="I79" s="25">
        <f>ROUND(I78-H79,1)</f>
        <v>164.8</v>
      </c>
      <c r="J79" s="25">
        <f t="shared" si="10"/>
        <v>29.9</v>
      </c>
      <c r="K79" s="25">
        <v>42.8</v>
      </c>
      <c r="L79" s="25">
        <f>ROUND(L78-K79,1)</f>
        <v>165</v>
      </c>
      <c r="M79" s="25">
        <f t="shared" si="11"/>
        <v>29.2</v>
      </c>
      <c r="N79" s="25">
        <f t="shared" si="12"/>
        <v>29.6</v>
      </c>
      <c r="O79" s="25">
        <f t="shared" si="13"/>
        <v>0.5</v>
      </c>
      <c r="P79" s="25">
        <f t="shared" si="14"/>
        <v>1</v>
      </c>
      <c r="Q79" s="25">
        <f>ROUND(N79/N72*100,1)</f>
        <v>90</v>
      </c>
      <c r="R79" s="25">
        <f>ROUND(STDEV(J79/J72*100,M79/M72*100),1)</f>
        <v>2.2999999999999998</v>
      </c>
    </row>
    <row r="80" spans="1:18" x14ac:dyDescent="0.2">
      <c r="A80" s="21" t="s">
        <v>0</v>
      </c>
      <c r="B80" s="21">
        <v>30</v>
      </c>
      <c r="C80" s="21">
        <v>2</v>
      </c>
      <c r="D80" s="21" t="s">
        <v>39</v>
      </c>
      <c r="E80" s="21">
        <v>300</v>
      </c>
      <c r="F80" s="21">
        <v>5</v>
      </c>
      <c r="G80" s="21">
        <v>1</v>
      </c>
      <c r="H80" s="21">
        <v>48</v>
      </c>
      <c r="I80" s="21"/>
      <c r="J80" s="21">
        <f t="shared" si="10"/>
        <v>32.799999999999997</v>
      </c>
      <c r="K80" s="21">
        <v>48.6</v>
      </c>
      <c r="L80" s="21"/>
      <c r="M80" s="21">
        <f t="shared" si="11"/>
        <v>33.200000000000003</v>
      </c>
      <c r="N80" s="21">
        <f t="shared" si="12"/>
        <v>33</v>
      </c>
      <c r="O80" s="21">
        <f t="shared" si="13"/>
        <v>0.3</v>
      </c>
      <c r="P80" s="21">
        <f t="shared" si="14"/>
        <v>1.1000000000000001</v>
      </c>
      <c r="Q80" s="21"/>
      <c r="R80" s="21"/>
    </row>
    <row r="81" spans="1:18" x14ac:dyDescent="0.2">
      <c r="A81" s="23" t="s">
        <v>0</v>
      </c>
      <c r="B81" s="23">
        <v>30</v>
      </c>
      <c r="C81" s="23">
        <v>2</v>
      </c>
      <c r="D81" s="23" t="s">
        <v>40</v>
      </c>
      <c r="E81" s="23">
        <v>60</v>
      </c>
      <c r="F81" s="23">
        <v>1</v>
      </c>
      <c r="G81" s="23">
        <v>1</v>
      </c>
      <c r="H81" s="23">
        <v>44.3</v>
      </c>
      <c r="I81" s="23">
        <f>ROUND($B$6-H81,1)</f>
        <v>205.7</v>
      </c>
      <c r="J81" s="23">
        <f t="shared" si="10"/>
        <v>30.3</v>
      </c>
      <c r="K81" s="23">
        <v>43.5</v>
      </c>
      <c r="L81" s="23">
        <f>ROUND($B$6-K81,1)</f>
        <v>206.5</v>
      </c>
      <c r="M81" s="23">
        <f t="shared" si="11"/>
        <v>29.7</v>
      </c>
      <c r="N81" s="23">
        <f t="shared" si="12"/>
        <v>30</v>
      </c>
      <c r="O81" s="23">
        <f t="shared" si="13"/>
        <v>0.4</v>
      </c>
      <c r="P81" s="23">
        <f t="shared" si="14"/>
        <v>1</v>
      </c>
      <c r="Q81" s="23"/>
      <c r="R81" s="23"/>
    </row>
    <row r="82" spans="1:18" x14ac:dyDescent="0.2">
      <c r="A82" s="23" t="s">
        <v>0</v>
      </c>
      <c r="B82" s="23">
        <v>30</v>
      </c>
      <c r="C82" s="23">
        <v>2</v>
      </c>
      <c r="D82" s="23" t="s">
        <v>40</v>
      </c>
      <c r="E82" s="23">
        <v>120</v>
      </c>
      <c r="F82" s="23">
        <v>2</v>
      </c>
      <c r="G82" s="23">
        <v>1</v>
      </c>
      <c r="H82" s="23">
        <v>39.799999999999997</v>
      </c>
      <c r="I82" s="23">
        <f>ROUND(I81-H82,1)</f>
        <v>165.9</v>
      </c>
      <c r="J82" s="23">
        <f t="shared" si="10"/>
        <v>27.2</v>
      </c>
      <c r="K82" s="23">
        <v>40.299999999999997</v>
      </c>
      <c r="L82" s="23">
        <f>ROUND(L81-K82,1)</f>
        <v>166.2</v>
      </c>
      <c r="M82" s="23">
        <f t="shared" si="11"/>
        <v>27.5</v>
      </c>
      <c r="N82" s="23">
        <f t="shared" si="12"/>
        <v>27.4</v>
      </c>
      <c r="O82" s="23">
        <f t="shared" si="13"/>
        <v>0.2</v>
      </c>
      <c r="P82" s="23">
        <f t="shared" si="14"/>
        <v>0.9</v>
      </c>
      <c r="Q82" s="23"/>
      <c r="R82" s="23"/>
    </row>
    <row r="83" spans="1:18" x14ac:dyDescent="0.2">
      <c r="A83" s="23" t="s">
        <v>0</v>
      </c>
      <c r="B83" s="23">
        <v>30</v>
      </c>
      <c r="C83" s="23">
        <v>2</v>
      </c>
      <c r="D83" s="23" t="s">
        <v>40</v>
      </c>
      <c r="E83" s="23">
        <v>180</v>
      </c>
      <c r="F83" s="23">
        <v>3</v>
      </c>
      <c r="G83" s="23">
        <v>1</v>
      </c>
      <c r="H83" s="23">
        <v>35.1</v>
      </c>
      <c r="I83" s="23">
        <f>ROUND(I82-H83,1)</f>
        <v>130.80000000000001</v>
      </c>
      <c r="J83" s="23">
        <f t="shared" si="10"/>
        <v>24</v>
      </c>
      <c r="K83" s="23">
        <v>34</v>
      </c>
      <c r="L83" s="23">
        <f>ROUND(L82-K83,1)</f>
        <v>132.19999999999999</v>
      </c>
      <c r="M83" s="23">
        <f t="shared" si="11"/>
        <v>23.2</v>
      </c>
      <c r="N83" s="23">
        <f t="shared" si="12"/>
        <v>23.6</v>
      </c>
      <c r="O83" s="23">
        <f t="shared" si="13"/>
        <v>0.6</v>
      </c>
      <c r="P83" s="23">
        <f t="shared" si="14"/>
        <v>0.8</v>
      </c>
      <c r="Q83" s="23"/>
      <c r="R83" s="23"/>
    </row>
    <row r="84" spans="1:18" x14ac:dyDescent="0.2">
      <c r="A84" s="23" t="s">
        <v>0</v>
      </c>
      <c r="B84" s="23">
        <v>30</v>
      </c>
      <c r="C84" s="23">
        <v>2</v>
      </c>
      <c r="D84" s="23" t="s">
        <v>40</v>
      </c>
      <c r="E84" s="23">
        <v>240</v>
      </c>
      <c r="F84" s="23">
        <v>4</v>
      </c>
      <c r="G84" s="23">
        <v>1</v>
      </c>
      <c r="H84" s="23">
        <v>31.9</v>
      </c>
      <c r="I84" s="23">
        <f>ROUND(I83-H84,1)</f>
        <v>98.9</v>
      </c>
      <c r="J84" s="23">
        <f t="shared" si="10"/>
        <v>21.8</v>
      </c>
      <c r="K84" s="23">
        <v>32.4</v>
      </c>
      <c r="L84" s="23">
        <f>ROUND(L83-K84,1)</f>
        <v>99.8</v>
      </c>
      <c r="M84" s="23">
        <f t="shared" si="11"/>
        <v>22.1</v>
      </c>
      <c r="N84" s="23">
        <f t="shared" si="12"/>
        <v>22</v>
      </c>
      <c r="O84" s="23">
        <f t="shared" si="13"/>
        <v>0.2</v>
      </c>
      <c r="P84" s="23">
        <f t="shared" si="14"/>
        <v>0.7</v>
      </c>
      <c r="Q84" s="23"/>
      <c r="R84" s="23"/>
    </row>
    <row r="85" spans="1:18" x14ac:dyDescent="0.2">
      <c r="A85" s="23" t="s">
        <v>0</v>
      </c>
      <c r="B85" s="23">
        <v>30</v>
      </c>
      <c r="C85" s="23">
        <v>2</v>
      </c>
      <c r="D85" s="23" t="s">
        <v>40</v>
      </c>
      <c r="E85" s="23">
        <v>300</v>
      </c>
      <c r="F85" s="23">
        <v>5</v>
      </c>
      <c r="G85" s="23">
        <v>1</v>
      </c>
      <c r="H85" s="23">
        <v>30.2</v>
      </c>
      <c r="I85" s="23">
        <f>ROUND(I84-H85,1)</f>
        <v>68.7</v>
      </c>
      <c r="J85" s="23">
        <f t="shared" si="10"/>
        <v>20.6</v>
      </c>
      <c r="K85" s="23">
        <v>29.6</v>
      </c>
      <c r="L85" s="23">
        <f>ROUND(L84-K85,1)</f>
        <v>70.2</v>
      </c>
      <c r="M85" s="23">
        <f t="shared" si="11"/>
        <v>20.2</v>
      </c>
      <c r="N85" s="23">
        <f t="shared" si="12"/>
        <v>20.399999999999999</v>
      </c>
      <c r="O85" s="23">
        <f t="shared" si="13"/>
        <v>0.3</v>
      </c>
      <c r="P85" s="23">
        <f t="shared" si="14"/>
        <v>0.7</v>
      </c>
      <c r="Q85" s="23"/>
      <c r="R85" s="23"/>
    </row>
    <row r="86" spans="1:18" x14ac:dyDescent="0.2">
      <c r="A86" s="25" t="s">
        <v>0</v>
      </c>
      <c r="B86" s="25">
        <v>30</v>
      </c>
      <c r="C86" s="25">
        <v>2</v>
      </c>
      <c r="D86" s="25" t="s">
        <v>55</v>
      </c>
      <c r="E86" s="25">
        <v>60</v>
      </c>
      <c r="F86" s="25">
        <v>1</v>
      </c>
      <c r="G86" s="25">
        <v>1</v>
      </c>
      <c r="H86" s="25">
        <v>47.2</v>
      </c>
      <c r="I86" s="25">
        <f>ROUND($B$6-H86,1)</f>
        <v>202.8</v>
      </c>
      <c r="J86" s="25">
        <f t="shared" si="10"/>
        <v>32.200000000000003</v>
      </c>
      <c r="K86" s="25">
        <v>47.9</v>
      </c>
      <c r="L86" s="25">
        <f>ROUND($B$6-K86,1)</f>
        <v>202.1</v>
      </c>
      <c r="M86" s="25">
        <f t="shared" si="11"/>
        <v>32.700000000000003</v>
      </c>
      <c r="N86" s="25">
        <f t="shared" si="12"/>
        <v>32.5</v>
      </c>
      <c r="O86" s="25">
        <f t="shared" si="13"/>
        <v>0.4</v>
      </c>
      <c r="P86" s="25">
        <f t="shared" si="14"/>
        <v>1.1000000000000001</v>
      </c>
      <c r="Q86" s="25">
        <f>ROUND(N86/N80*100,1)</f>
        <v>98.5</v>
      </c>
      <c r="R86" s="25">
        <f>ROUND(STDEV(J86/J80*100,M86/M80*100),1)</f>
        <v>0.2</v>
      </c>
    </row>
    <row r="87" spans="1:18" x14ac:dyDescent="0.2">
      <c r="A87" s="25" t="s">
        <v>0</v>
      </c>
      <c r="B87" s="25">
        <v>30</v>
      </c>
      <c r="C87" s="25">
        <v>2</v>
      </c>
      <c r="D87" s="25" t="s">
        <v>55</v>
      </c>
      <c r="E87" s="25">
        <v>120</v>
      </c>
      <c r="F87" s="25">
        <v>2</v>
      </c>
      <c r="G87" s="25">
        <v>1</v>
      </c>
      <c r="H87" s="25">
        <v>48.7</v>
      </c>
      <c r="I87" s="25">
        <f>ROUND(I86-H87,1)</f>
        <v>154.1</v>
      </c>
      <c r="J87" s="25">
        <f t="shared" si="10"/>
        <v>33.299999999999997</v>
      </c>
      <c r="K87" s="25">
        <v>47.9</v>
      </c>
      <c r="L87" s="25">
        <f>ROUND(L86-K87,1)</f>
        <v>154.19999999999999</v>
      </c>
      <c r="M87" s="25">
        <f t="shared" si="11"/>
        <v>32.700000000000003</v>
      </c>
      <c r="N87" s="25">
        <f t="shared" si="12"/>
        <v>33</v>
      </c>
      <c r="O87" s="25">
        <f t="shared" si="13"/>
        <v>0.4</v>
      </c>
      <c r="P87" s="25">
        <f t="shared" si="14"/>
        <v>1.1000000000000001</v>
      </c>
      <c r="Q87" s="25">
        <f>ROUND(N87/N80*100,1)</f>
        <v>100</v>
      </c>
      <c r="R87" s="25">
        <f>ROUND(STDEV(J87/J80*100,M87/M80*100),1)</f>
        <v>2.1</v>
      </c>
    </row>
    <row r="88" spans="1:18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</row>
  </sheetData>
  <mergeCells count="3">
    <mergeCell ref="A62:R62"/>
    <mergeCell ref="A8:R8"/>
    <mergeCell ref="A35:R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5B14-049B-6546-B70A-342A858B3294}">
  <dimension ref="A1:R89"/>
  <sheetViews>
    <sheetView workbookViewId="0">
      <selection activeCell="J29" sqref="J29"/>
    </sheetView>
  </sheetViews>
  <sheetFormatPr baseColWidth="10" defaultColWidth="8.83203125" defaultRowHeight="16" x14ac:dyDescent="0.2"/>
  <cols>
    <col min="1" max="1" width="14" style="17" customWidth="1"/>
    <col min="2" max="2" width="13" style="17" customWidth="1"/>
    <col min="3" max="3" width="12" style="17" customWidth="1"/>
    <col min="4" max="4" width="23" style="17" customWidth="1"/>
    <col min="5" max="5" width="11" style="17" customWidth="1"/>
    <col min="6" max="6" width="8" style="17" customWidth="1"/>
    <col min="7" max="7" width="9" style="17" customWidth="1"/>
    <col min="8" max="8" width="19" style="17" customWidth="1"/>
    <col min="9" max="9" width="20" style="17" customWidth="1"/>
    <col min="10" max="10" width="15" style="17" customWidth="1"/>
    <col min="11" max="11" width="19" style="17" customWidth="1"/>
    <col min="12" max="12" width="20" style="17" customWidth="1"/>
    <col min="13" max="13" width="15" style="17" customWidth="1"/>
    <col min="14" max="14" width="16" style="17" customWidth="1"/>
    <col min="15" max="15" width="13" style="17" customWidth="1"/>
    <col min="16" max="16" width="19" style="17" customWidth="1"/>
    <col min="17" max="17" width="14" style="17" customWidth="1"/>
    <col min="18" max="18" width="16" style="17" customWidth="1"/>
    <col min="19" max="16384" width="8.83203125" style="17"/>
  </cols>
  <sheetData>
    <row r="1" spans="1:18" x14ac:dyDescent="0.2">
      <c r="A1" s="32" t="s">
        <v>17</v>
      </c>
      <c r="B1" s="32" t="s">
        <v>18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2">
      <c r="A2" s="19" t="s">
        <v>21</v>
      </c>
      <c r="B2" s="18">
        <v>1.464E-3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x14ac:dyDescent="0.2">
      <c r="A3" s="19" t="s">
        <v>49</v>
      </c>
      <c r="B3" s="19">
        <v>12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x14ac:dyDescent="0.2">
      <c r="A4" s="19" t="s">
        <v>50</v>
      </c>
      <c r="B4" s="19">
        <v>30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x14ac:dyDescent="0.2">
      <c r="A5" s="19" t="s">
        <v>51</v>
      </c>
      <c r="B5" s="19">
        <v>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 t="s">
        <v>22</v>
      </c>
      <c r="B6" s="19">
        <v>250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x14ac:dyDescent="0.2">
      <c r="A8" s="34" t="s">
        <v>64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</row>
    <row r="9" spans="1:18" ht="34" x14ac:dyDescent="0.2">
      <c r="A9" s="33" t="s">
        <v>19</v>
      </c>
      <c r="B9" s="33" t="s">
        <v>26</v>
      </c>
      <c r="C9" s="33" t="s">
        <v>53</v>
      </c>
      <c r="D9" s="33" t="s">
        <v>27</v>
      </c>
      <c r="E9" s="33" t="s">
        <v>28</v>
      </c>
      <c r="F9" s="33" t="s">
        <v>4</v>
      </c>
      <c r="G9" s="33" t="s">
        <v>29</v>
      </c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 t="s">
        <v>35</v>
      </c>
      <c r="N9" s="33" t="s">
        <v>36</v>
      </c>
      <c r="O9" s="33" t="s">
        <v>37</v>
      </c>
      <c r="P9" s="33" t="s">
        <v>38</v>
      </c>
      <c r="Q9" s="33" t="s">
        <v>54</v>
      </c>
      <c r="R9" s="33" t="s">
        <v>44</v>
      </c>
    </row>
    <row r="10" spans="1:18" x14ac:dyDescent="0.2">
      <c r="A10" s="21" t="s">
        <v>5</v>
      </c>
      <c r="B10" s="21">
        <v>12</v>
      </c>
      <c r="C10" s="21">
        <v>0</v>
      </c>
      <c r="D10" s="21" t="s">
        <v>39</v>
      </c>
      <c r="E10" s="21">
        <v>300</v>
      </c>
      <c r="F10" s="21">
        <v>5</v>
      </c>
      <c r="G10" s="21">
        <v>1</v>
      </c>
      <c r="H10" s="21">
        <v>48</v>
      </c>
      <c r="I10" s="21"/>
      <c r="J10" s="21">
        <f t="shared" ref="J10:J33" si="0">ROUND(H10/1000/$B$2/G10,1)</f>
        <v>32.799999999999997</v>
      </c>
      <c r="K10" s="21">
        <v>47.1</v>
      </c>
      <c r="L10" s="21"/>
      <c r="M10" s="21">
        <f t="shared" ref="M10:M33" si="1">ROUND(K10/1000/$B$2/G10,1)</f>
        <v>32.200000000000003</v>
      </c>
      <c r="N10" s="21">
        <f t="shared" ref="N10:N33" si="2">ROUND(AVERAGE(J10,M10),1)</f>
        <v>32.5</v>
      </c>
      <c r="O10" s="21">
        <f t="shared" ref="O10:O33" si="3">ROUND(STDEV(J10,M10),1)</f>
        <v>0.4</v>
      </c>
      <c r="P10" s="21">
        <f t="shared" ref="P10:P33" si="4">ROUND(N10/B10,1)</f>
        <v>2.7</v>
      </c>
      <c r="Q10" s="21"/>
      <c r="R10" s="21"/>
    </row>
    <row r="11" spans="1:18" x14ac:dyDescent="0.2">
      <c r="A11" s="23" t="s">
        <v>5</v>
      </c>
      <c r="B11" s="23">
        <v>12</v>
      </c>
      <c r="C11" s="23">
        <v>0</v>
      </c>
      <c r="D11" s="23" t="s">
        <v>42</v>
      </c>
      <c r="E11" s="23">
        <v>60</v>
      </c>
      <c r="F11" s="23">
        <v>1</v>
      </c>
      <c r="G11" s="23">
        <v>1</v>
      </c>
      <c r="H11" s="23">
        <v>41.5</v>
      </c>
      <c r="I11" s="23">
        <f>ROUND($B$6-H11,1)</f>
        <v>208.5</v>
      </c>
      <c r="J11" s="23">
        <f t="shared" si="0"/>
        <v>28.3</v>
      </c>
      <c r="K11" s="23">
        <v>42.5</v>
      </c>
      <c r="L11" s="23">
        <f>ROUND($B$6-K11,1)</f>
        <v>207.5</v>
      </c>
      <c r="M11" s="23">
        <f t="shared" si="1"/>
        <v>29</v>
      </c>
      <c r="N11" s="23">
        <f t="shared" si="2"/>
        <v>28.7</v>
      </c>
      <c r="O11" s="23">
        <f t="shared" si="3"/>
        <v>0.5</v>
      </c>
      <c r="P11" s="23">
        <f t="shared" si="4"/>
        <v>2.4</v>
      </c>
      <c r="Q11" s="23"/>
      <c r="R11" s="23"/>
    </row>
    <row r="12" spans="1:18" x14ac:dyDescent="0.2">
      <c r="A12" s="23" t="s">
        <v>5</v>
      </c>
      <c r="B12" s="23">
        <v>12</v>
      </c>
      <c r="C12" s="23">
        <v>0</v>
      </c>
      <c r="D12" s="23" t="s">
        <v>42</v>
      </c>
      <c r="E12" s="23">
        <v>120</v>
      </c>
      <c r="F12" s="23">
        <v>2</v>
      </c>
      <c r="G12" s="23">
        <v>1</v>
      </c>
      <c r="H12" s="23">
        <v>35.1</v>
      </c>
      <c r="I12" s="23">
        <f>ROUND(I11-H12,1)</f>
        <v>173.4</v>
      </c>
      <c r="J12" s="23">
        <f t="shared" si="0"/>
        <v>24</v>
      </c>
      <c r="K12" s="23">
        <v>34.5</v>
      </c>
      <c r="L12" s="23">
        <f>ROUND(L11-K12,1)</f>
        <v>173</v>
      </c>
      <c r="M12" s="23">
        <f t="shared" si="1"/>
        <v>23.6</v>
      </c>
      <c r="N12" s="23">
        <f t="shared" si="2"/>
        <v>23.8</v>
      </c>
      <c r="O12" s="23">
        <f t="shared" si="3"/>
        <v>0.3</v>
      </c>
      <c r="P12" s="23">
        <f t="shared" si="4"/>
        <v>2</v>
      </c>
      <c r="Q12" s="23"/>
      <c r="R12" s="23"/>
    </row>
    <row r="13" spans="1:18" x14ac:dyDescent="0.2">
      <c r="A13" s="23" t="s">
        <v>5</v>
      </c>
      <c r="B13" s="23">
        <v>12</v>
      </c>
      <c r="C13" s="23">
        <v>0</v>
      </c>
      <c r="D13" s="23" t="s">
        <v>42</v>
      </c>
      <c r="E13" s="23">
        <v>180</v>
      </c>
      <c r="F13" s="23">
        <v>3</v>
      </c>
      <c r="G13" s="23">
        <v>1</v>
      </c>
      <c r="H13" s="23">
        <v>30.7</v>
      </c>
      <c r="I13" s="23">
        <f>ROUND(I12-H13,1)</f>
        <v>142.69999999999999</v>
      </c>
      <c r="J13" s="23">
        <f t="shared" si="0"/>
        <v>21</v>
      </c>
      <c r="K13" s="23">
        <v>31.4</v>
      </c>
      <c r="L13" s="23">
        <f>ROUND(L12-K13,1)</f>
        <v>141.6</v>
      </c>
      <c r="M13" s="23">
        <f t="shared" si="1"/>
        <v>21.4</v>
      </c>
      <c r="N13" s="23">
        <f t="shared" si="2"/>
        <v>21.2</v>
      </c>
      <c r="O13" s="23">
        <f t="shared" si="3"/>
        <v>0.3</v>
      </c>
      <c r="P13" s="23">
        <f t="shared" si="4"/>
        <v>1.8</v>
      </c>
      <c r="Q13" s="23"/>
      <c r="R13" s="23"/>
    </row>
    <row r="14" spans="1:18" x14ac:dyDescent="0.2">
      <c r="A14" s="23" t="s">
        <v>5</v>
      </c>
      <c r="B14" s="23">
        <v>12</v>
      </c>
      <c r="C14" s="23">
        <v>0</v>
      </c>
      <c r="D14" s="23" t="s">
        <v>42</v>
      </c>
      <c r="E14" s="23">
        <v>240</v>
      </c>
      <c r="F14" s="23">
        <v>4</v>
      </c>
      <c r="G14" s="23">
        <v>1</v>
      </c>
      <c r="H14" s="23">
        <v>23.2</v>
      </c>
      <c r="I14" s="23">
        <f>ROUND(I13-H14,1)</f>
        <v>119.5</v>
      </c>
      <c r="J14" s="23">
        <f t="shared" si="0"/>
        <v>15.8</v>
      </c>
      <c r="K14" s="23">
        <v>22.7</v>
      </c>
      <c r="L14" s="23">
        <f>ROUND(L13-K14,1)</f>
        <v>118.9</v>
      </c>
      <c r="M14" s="23">
        <f t="shared" si="1"/>
        <v>15.5</v>
      </c>
      <c r="N14" s="23">
        <f t="shared" si="2"/>
        <v>15.7</v>
      </c>
      <c r="O14" s="23">
        <f t="shared" si="3"/>
        <v>0.2</v>
      </c>
      <c r="P14" s="23">
        <f t="shared" si="4"/>
        <v>1.3</v>
      </c>
      <c r="Q14" s="23"/>
      <c r="R14" s="23"/>
    </row>
    <row r="15" spans="1:18" x14ac:dyDescent="0.2">
      <c r="A15" s="23" t="s">
        <v>5</v>
      </c>
      <c r="B15" s="23">
        <v>12</v>
      </c>
      <c r="C15" s="23">
        <v>0</v>
      </c>
      <c r="D15" s="23" t="s">
        <v>42</v>
      </c>
      <c r="E15" s="23">
        <v>300</v>
      </c>
      <c r="F15" s="23">
        <v>5</v>
      </c>
      <c r="G15" s="23">
        <v>1</v>
      </c>
      <c r="H15" s="23">
        <v>19.600000000000001</v>
      </c>
      <c r="I15" s="23">
        <f>ROUND(I14-H15,1)</f>
        <v>99.9</v>
      </c>
      <c r="J15" s="23">
        <f t="shared" si="0"/>
        <v>13.4</v>
      </c>
      <c r="K15" s="23">
        <v>20.6</v>
      </c>
      <c r="L15" s="23">
        <f>ROUND(L14-K15,1)</f>
        <v>98.3</v>
      </c>
      <c r="M15" s="23">
        <f t="shared" si="1"/>
        <v>14.1</v>
      </c>
      <c r="N15" s="23">
        <f t="shared" si="2"/>
        <v>13.8</v>
      </c>
      <c r="O15" s="23">
        <f t="shared" si="3"/>
        <v>0.5</v>
      </c>
      <c r="P15" s="23">
        <f t="shared" si="4"/>
        <v>1.2</v>
      </c>
      <c r="Q15" s="23"/>
      <c r="R15" s="23"/>
    </row>
    <row r="16" spans="1:18" x14ac:dyDescent="0.2">
      <c r="A16" s="25" t="s">
        <v>5</v>
      </c>
      <c r="B16" s="25">
        <v>12</v>
      </c>
      <c r="C16" s="25">
        <v>0</v>
      </c>
      <c r="D16" s="25" t="s">
        <v>55</v>
      </c>
      <c r="E16" s="25">
        <v>60</v>
      </c>
      <c r="F16" s="25">
        <v>1</v>
      </c>
      <c r="G16" s="25">
        <v>1</v>
      </c>
      <c r="H16" s="25">
        <v>24.1</v>
      </c>
      <c r="I16" s="25">
        <f>ROUND($B$6-H16,1)</f>
        <v>225.9</v>
      </c>
      <c r="J16" s="25">
        <f t="shared" si="0"/>
        <v>16.5</v>
      </c>
      <c r="K16" s="25">
        <v>23.6</v>
      </c>
      <c r="L16" s="25">
        <f>ROUND($B$6-K16,1)</f>
        <v>226.4</v>
      </c>
      <c r="M16" s="25">
        <f t="shared" si="1"/>
        <v>16.100000000000001</v>
      </c>
      <c r="N16" s="25">
        <f t="shared" si="2"/>
        <v>16.3</v>
      </c>
      <c r="O16" s="25">
        <f t="shared" si="3"/>
        <v>0.3</v>
      </c>
      <c r="P16" s="25">
        <f t="shared" si="4"/>
        <v>1.4</v>
      </c>
      <c r="Q16" s="25">
        <f>ROUND(N16/N10*100,1)</f>
        <v>50.2</v>
      </c>
      <c r="R16" s="25">
        <f>ROUND(STDEV(J16/J10*100,M16/M10*100),1)</f>
        <v>0.2</v>
      </c>
    </row>
    <row r="17" spans="1:18" x14ac:dyDescent="0.2">
      <c r="A17" s="25" t="s">
        <v>5</v>
      </c>
      <c r="B17" s="25">
        <v>12</v>
      </c>
      <c r="C17" s="25">
        <v>0</v>
      </c>
      <c r="D17" s="25" t="s">
        <v>55</v>
      </c>
      <c r="E17" s="25">
        <v>120</v>
      </c>
      <c r="F17" s="25">
        <v>2</v>
      </c>
      <c r="G17" s="25">
        <v>1</v>
      </c>
      <c r="H17" s="25">
        <v>24.4</v>
      </c>
      <c r="I17" s="25">
        <f>ROUND(I16-H17,1)</f>
        <v>201.5</v>
      </c>
      <c r="J17" s="25">
        <f t="shared" si="0"/>
        <v>16.7</v>
      </c>
      <c r="K17" s="25">
        <v>25</v>
      </c>
      <c r="L17" s="25">
        <f>ROUND(L16-K17,1)</f>
        <v>201.4</v>
      </c>
      <c r="M17" s="25">
        <f t="shared" si="1"/>
        <v>17.100000000000001</v>
      </c>
      <c r="N17" s="25">
        <f t="shared" si="2"/>
        <v>16.899999999999999</v>
      </c>
      <c r="O17" s="25">
        <f t="shared" si="3"/>
        <v>0.3</v>
      </c>
      <c r="P17" s="25">
        <f t="shared" si="4"/>
        <v>1.4</v>
      </c>
      <c r="Q17" s="25">
        <f>ROUND(N17/N10*100,1)</f>
        <v>52</v>
      </c>
      <c r="R17" s="25">
        <f>ROUND(STDEV(J17/J10*100,M17/M10*100),1)</f>
        <v>1.5</v>
      </c>
    </row>
    <row r="18" spans="1:18" x14ac:dyDescent="0.2">
      <c r="A18" s="21" t="s">
        <v>1</v>
      </c>
      <c r="B18" s="21">
        <v>30</v>
      </c>
      <c r="C18" s="21">
        <v>0</v>
      </c>
      <c r="D18" s="21" t="s">
        <v>39</v>
      </c>
      <c r="E18" s="21">
        <v>300</v>
      </c>
      <c r="F18" s="21">
        <v>5</v>
      </c>
      <c r="G18" s="21">
        <v>1</v>
      </c>
      <c r="H18" s="21">
        <v>48.1</v>
      </c>
      <c r="I18" s="21"/>
      <c r="J18" s="21">
        <f t="shared" si="0"/>
        <v>32.9</v>
      </c>
      <c r="K18" s="21">
        <v>47.4</v>
      </c>
      <c r="L18" s="21"/>
      <c r="M18" s="21">
        <f t="shared" si="1"/>
        <v>32.4</v>
      </c>
      <c r="N18" s="21">
        <f t="shared" si="2"/>
        <v>32.700000000000003</v>
      </c>
      <c r="O18" s="21">
        <f t="shared" si="3"/>
        <v>0.4</v>
      </c>
      <c r="P18" s="21">
        <f t="shared" si="4"/>
        <v>1.1000000000000001</v>
      </c>
      <c r="Q18" s="21"/>
      <c r="R18" s="21"/>
    </row>
    <row r="19" spans="1:18" x14ac:dyDescent="0.2">
      <c r="A19" s="23" t="s">
        <v>1</v>
      </c>
      <c r="B19" s="23">
        <v>30</v>
      </c>
      <c r="C19" s="23">
        <v>0</v>
      </c>
      <c r="D19" s="23" t="s">
        <v>42</v>
      </c>
      <c r="E19" s="23">
        <v>60</v>
      </c>
      <c r="F19" s="23">
        <v>1</v>
      </c>
      <c r="G19" s="23">
        <v>1</v>
      </c>
      <c r="H19" s="23">
        <v>41.6</v>
      </c>
      <c r="I19" s="23">
        <f>ROUND($B$6-H19,1)</f>
        <v>208.4</v>
      </c>
      <c r="J19" s="23">
        <f t="shared" si="0"/>
        <v>28.4</v>
      </c>
      <c r="K19" s="23">
        <v>42.4</v>
      </c>
      <c r="L19" s="23">
        <f>ROUND($B$6-K19,1)</f>
        <v>207.6</v>
      </c>
      <c r="M19" s="23">
        <f t="shared" si="1"/>
        <v>29</v>
      </c>
      <c r="N19" s="23">
        <f t="shared" si="2"/>
        <v>28.7</v>
      </c>
      <c r="O19" s="23">
        <f t="shared" si="3"/>
        <v>0.4</v>
      </c>
      <c r="P19" s="23">
        <f t="shared" si="4"/>
        <v>1</v>
      </c>
      <c r="Q19" s="23"/>
      <c r="R19" s="23"/>
    </row>
    <row r="20" spans="1:18" x14ac:dyDescent="0.2">
      <c r="A20" s="23" t="s">
        <v>1</v>
      </c>
      <c r="B20" s="23">
        <v>30</v>
      </c>
      <c r="C20" s="23">
        <v>0</v>
      </c>
      <c r="D20" s="23" t="s">
        <v>42</v>
      </c>
      <c r="E20" s="23">
        <v>120</v>
      </c>
      <c r="F20" s="23">
        <v>2</v>
      </c>
      <c r="G20" s="23">
        <v>1</v>
      </c>
      <c r="H20" s="23">
        <v>38.799999999999997</v>
      </c>
      <c r="I20" s="23">
        <f>ROUND(I19-H20,1)</f>
        <v>169.6</v>
      </c>
      <c r="J20" s="23">
        <f t="shared" si="0"/>
        <v>26.5</v>
      </c>
      <c r="K20" s="23">
        <v>37.799999999999997</v>
      </c>
      <c r="L20" s="23">
        <f>ROUND(L19-K20,1)</f>
        <v>169.8</v>
      </c>
      <c r="M20" s="23">
        <f t="shared" si="1"/>
        <v>25.8</v>
      </c>
      <c r="N20" s="23">
        <f t="shared" si="2"/>
        <v>26.2</v>
      </c>
      <c r="O20" s="23">
        <f t="shared" si="3"/>
        <v>0.5</v>
      </c>
      <c r="P20" s="23">
        <f t="shared" si="4"/>
        <v>0.9</v>
      </c>
      <c r="Q20" s="23"/>
      <c r="R20" s="23"/>
    </row>
    <row r="21" spans="1:18" x14ac:dyDescent="0.2">
      <c r="A21" s="23" t="s">
        <v>1</v>
      </c>
      <c r="B21" s="23">
        <v>30</v>
      </c>
      <c r="C21" s="23">
        <v>0</v>
      </c>
      <c r="D21" s="23" t="s">
        <v>42</v>
      </c>
      <c r="E21" s="23">
        <v>180</v>
      </c>
      <c r="F21" s="23">
        <v>3</v>
      </c>
      <c r="G21" s="23">
        <v>1</v>
      </c>
      <c r="H21" s="23">
        <v>36</v>
      </c>
      <c r="I21" s="23">
        <f>ROUND(I20-H21,1)</f>
        <v>133.6</v>
      </c>
      <c r="J21" s="23">
        <f t="shared" si="0"/>
        <v>24.6</v>
      </c>
      <c r="K21" s="23">
        <v>36.700000000000003</v>
      </c>
      <c r="L21" s="23">
        <f>ROUND(L20-K21,1)</f>
        <v>133.1</v>
      </c>
      <c r="M21" s="23">
        <f t="shared" si="1"/>
        <v>25.1</v>
      </c>
      <c r="N21" s="23">
        <f t="shared" si="2"/>
        <v>24.9</v>
      </c>
      <c r="O21" s="23">
        <f t="shared" si="3"/>
        <v>0.4</v>
      </c>
      <c r="P21" s="23">
        <f t="shared" si="4"/>
        <v>0.8</v>
      </c>
      <c r="Q21" s="23"/>
      <c r="R21" s="23"/>
    </row>
    <row r="22" spans="1:18" x14ac:dyDescent="0.2">
      <c r="A22" s="23" t="s">
        <v>1</v>
      </c>
      <c r="B22" s="23">
        <v>30</v>
      </c>
      <c r="C22" s="23">
        <v>0</v>
      </c>
      <c r="D22" s="23" t="s">
        <v>42</v>
      </c>
      <c r="E22" s="23">
        <v>240</v>
      </c>
      <c r="F22" s="23">
        <v>4</v>
      </c>
      <c r="G22" s="23">
        <v>1</v>
      </c>
      <c r="H22" s="23">
        <v>32.799999999999997</v>
      </c>
      <c r="I22" s="23">
        <f>ROUND(I21-H22,1)</f>
        <v>100.8</v>
      </c>
      <c r="J22" s="23">
        <f t="shared" si="0"/>
        <v>22.4</v>
      </c>
      <c r="K22" s="23">
        <v>32</v>
      </c>
      <c r="L22" s="23">
        <f>ROUND(L21-K22,1)</f>
        <v>101.1</v>
      </c>
      <c r="M22" s="23">
        <f t="shared" si="1"/>
        <v>21.9</v>
      </c>
      <c r="N22" s="23">
        <f t="shared" si="2"/>
        <v>22.2</v>
      </c>
      <c r="O22" s="23">
        <f t="shared" si="3"/>
        <v>0.4</v>
      </c>
      <c r="P22" s="23">
        <f t="shared" si="4"/>
        <v>0.7</v>
      </c>
      <c r="Q22" s="23"/>
      <c r="R22" s="23"/>
    </row>
    <row r="23" spans="1:18" x14ac:dyDescent="0.2">
      <c r="A23" s="23" t="s">
        <v>1</v>
      </c>
      <c r="B23" s="23">
        <v>30</v>
      </c>
      <c r="C23" s="23">
        <v>0</v>
      </c>
      <c r="D23" s="23" t="s">
        <v>42</v>
      </c>
      <c r="E23" s="23">
        <v>300</v>
      </c>
      <c r="F23" s="23">
        <v>5</v>
      </c>
      <c r="G23" s="23">
        <v>1</v>
      </c>
      <c r="H23" s="23">
        <v>30.2</v>
      </c>
      <c r="I23" s="23">
        <f>ROUND(I22-H23,1)</f>
        <v>70.599999999999994</v>
      </c>
      <c r="J23" s="23">
        <f t="shared" si="0"/>
        <v>20.6</v>
      </c>
      <c r="K23" s="23">
        <v>30.7</v>
      </c>
      <c r="L23" s="23">
        <f>ROUND(L22-K23,1)</f>
        <v>70.400000000000006</v>
      </c>
      <c r="M23" s="23">
        <f t="shared" si="1"/>
        <v>21</v>
      </c>
      <c r="N23" s="23">
        <f t="shared" si="2"/>
        <v>20.8</v>
      </c>
      <c r="O23" s="23">
        <f t="shared" si="3"/>
        <v>0.3</v>
      </c>
      <c r="P23" s="23">
        <f t="shared" si="4"/>
        <v>0.7</v>
      </c>
      <c r="Q23" s="23"/>
      <c r="R23" s="23"/>
    </row>
    <row r="24" spans="1:18" x14ac:dyDescent="0.2">
      <c r="A24" s="25" t="s">
        <v>1</v>
      </c>
      <c r="B24" s="25">
        <v>30</v>
      </c>
      <c r="C24" s="25">
        <v>0</v>
      </c>
      <c r="D24" s="25" t="s">
        <v>55</v>
      </c>
      <c r="E24" s="25">
        <v>60</v>
      </c>
      <c r="F24" s="25">
        <v>1</v>
      </c>
      <c r="G24" s="25">
        <v>1</v>
      </c>
      <c r="H24" s="25">
        <v>39.700000000000003</v>
      </c>
      <c r="I24" s="25">
        <f>ROUND($B$6-H24,1)</f>
        <v>210.3</v>
      </c>
      <c r="J24" s="25">
        <f t="shared" si="0"/>
        <v>27.1</v>
      </c>
      <c r="K24" s="25">
        <v>38.6</v>
      </c>
      <c r="L24" s="25">
        <f>ROUND($B$6-K24,1)</f>
        <v>211.4</v>
      </c>
      <c r="M24" s="25">
        <f t="shared" si="1"/>
        <v>26.4</v>
      </c>
      <c r="N24" s="25">
        <f t="shared" si="2"/>
        <v>26.8</v>
      </c>
      <c r="O24" s="25">
        <f t="shared" si="3"/>
        <v>0.5</v>
      </c>
      <c r="P24" s="25">
        <f t="shared" si="4"/>
        <v>0.9</v>
      </c>
      <c r="Q24" s="25">
        <f>ROUND(N24/N18*100,1)</f>
        <v>82</v>
      </c>
      <c r="R24" s="25">
        <f>ROUND(STDEV(J24/J18*100,M24/M18*100),1)</f>
        <v>0.6</v>
      </c>
    </row>
    <row r="25" spans="1:18" x14ac:dyDescent="0.2">
      <c r="A25" s="25" t="s">
        <v>1</v>
      </c>
      <c r="B25" s="25">
        <v>30</v>
      </c>
      <c r="C25" s="25">
        <v>0</v>
      </c>
      <c r="D25" s="25" t="s">
        <v>55</v>
      </c>
      <c r="E25" s="25">
        <v>120</v>
      </c>
      <c r="F25" s="25">
        <v>2</v>
      </c>
      <c r="G25" s="25">
        <v>1</v>
      </c>
      <c r="H25" s="25">
        <v>40.299999999999997</v>
      </c>
      <c r="I25" s="25">
        <f>ROUND(I24-H25,1)</f>
        <v>170</v>
      </c>
      <c r="J25" s="25">
        <f t="shared" si="0"/>
        <v>27.5</v>
      </c>
      <c r="K25" s="25">
        <v>40.799999999999997</v>
      </c>
      <c r="L25" s="25">
        <f>ROUND(L24-K25,1)</f>
        <v>170.6</v>
      </c>
      <c r="M25" s="25">
        <f t="shared" si="1"/>
        <v>27.9</v>
      </c>
      <c r="N25" s="25">
        <f t="shared" si="2"/>
        <v>27.7</v>
      </c>
      <c r="O25" s="25">
        <f t="shared" si="3"/>
        <v>0.3</v>
      </c>
      <c r="P25" s="25">
        <f t="shared" si="4"/>
        <v>0.9</v>
      </c>
      <c r="Q25" s="25">
        <f>ROUND(N25/N18*100,1)</f>
        <v>84.7</v>
      </c>
      <c r="R25" s="25">
        <f>ROUND(STDEV(J25/J18*100,M25/M18*100),1)</f>
        <v>1.8</v>
      </c>
    </row>
    <row r="26" spans="1:18" x14ac:dyDescent="0.2">
      <c r="A26" s="21" t="s">
        <v>0</v>
      </c>
      <c r="B26" s="21">
        <v>30</v>
      </c>
      <c r="C26" s="21">
        <v>0</v>
      </c>
      <c r="D26" s="21" t="s">
        <v>39</v>
      </c>
      <c r="E26" s="21">
        <v>300</v>
      </c>
      <c r="F26" s="21">
        <v>5</v>
      </c>
      <c r="G26" s="21">
        <v>1</v>
      </c>
      <c r="H26" s="21">
        <v>48.2</v>
      </c>
      <c r="I26" s="21"/>
      <c r="J26" s="21">
        <f t="shared" si="0"/>
        <v>32.9</v>
      </c>
      <c r="K26" s="21">
        <v>47.6</v>
      </c>
      <c r="L26" s="21"/>
      <c r="M26" s="21">
        <f t="shared" si="1"/>
        <v>32.5</v>
      </c>
      <c r="N26" s="21">
        <f t="shared" si="2"/>
        <v>32.700000000000003</v>
      </c>
      <c r="O26" s="21">
        <f t="shared" si="3"/>
        <v>0.3</v>
      </c>
      <c r="P26" s="21">
        <f t="shared" si="4"/>
        <v>1.1000000000000001</v>
      </c>
      <c r="Q26" s="21"/>
      <c r="R26" s="21"/>
    </row>
    <row r="27" spans="1:18" x14ac:dyDescent="0.2">
      <c r="A27" s="23" t="s">
        <v>0</v>
      </c>
      <c r="B27" s="23">
        <v>30</v>
      </c>
      <c r="C27" s="23">
        <v>0</v>
      </c>
      <c r="D27" s="23" t="s">
        <v>42</v>
      </c>
      <c r="E27" s="23">
        <v>60</v>
      </c>
      <c r="F27" s="23">
        <v>1</v>
      </c>
      <c r="G27" s="23">
        <v>1</v>
      </c>
      <c r="H27" s="23">
        <v>43.1</v>
      </c>
      <c r="I27" s="23">
        <f>ROUND($B$6-H27,1)</f>
        <v>206.9</v>
      </c>
      <c r="J27" s="23">
        <f t="shared" si="0"/>
        <v>29.4</v>
      </c>
      <c r="K27" s="23">
        <v>43.8</v>
      </c>
      <c r="L27" s="23">
        <f>ROUND($B$6-K27,1)</f>
        <v>206.2</v>
      </c>
      <c r="M27" s="23">
        <f t="shared" si="1"/>
        <v>29.9</v>
      </c>
      <c r="N27" s="23">
        <f t="shared" si="2"/>
        <v>29.7</v>
      </c>
      <c r="O27" s="23">
        <f t="shared" si="3"/>
        <v>0.4</v>
      </c>
      <c r="P27" s="23">
        <f t="shared" si="4"/>
        <v>1</v>
      </c>
      <c r="Q27" s="23"/>
      <c r="R27" s="23"/>
    </row>
    <row r="28" spans="1:18" x14ac:dyDescent="0.2">
      <c r="A28" s="23" t="s">
        <v>0</v>
      </c>
      <c r="B28" s="23">
        <v>30</v>
      </c>
      <c r="C28" s="23">
        <v>0</v>
      </c>
      <c r="D28" s="23" t="s">
        <v>42</v>
      </c>
      <c r="E28" s="23">
        <v>120</v>
      </c>
      <c r="F28" s="23">
        <v>2</v>
      </c>
      <c r="G28" s="23">
        <v>1</v>
      </c>
      <c r="H28" s="23">
        <v>41.4</v>
      </c>
      <c r="I28" s="23">
        <f>ROUND(I27-H28,1)</f>
        <v>165.5</v>
      </c>
      <c r="J28" s="23">
        <f t="shared" si="0"/>
        <v>28.3</v>
      </c>
      <c r="K28" s="23">
        <v>40.5</v>
      </c>
      <c r="L28" s="23">
        <f>ROUND(L27-K28,1)</f>
        <v>165.7</v>
      </c>
      <c r="M28" s="23">
        <f t="shared" si="1"/>
        <v>27.7</v>
      </c>
      <c r="N28" s="23">
        <f t="shared" si="2"/>
        <v>28</v>
      </c>
      <c r="O28" s="23">
        <f t="shared" si="3"/>
        <v>0.4</v>
      </c>
      <c r="P28" s="23">
        <f t="shared" si="4"/>
        <v>0.9</v>
      </c>
      <c r="Q28" s="23"/>
      <c r="R28" s="23"/>
    </row>
    <row r="29" spans="1:18" x14ac:dyDescent="0.2">
      <c r="A29" s="23" t="s">
        <v>0</v>
      </c>
      <c r="B29" s="23">
        <v>30</v>
      </c>
      <c r="C29" s="23">
        <v>0</v>
      </c>
      <c r="D29" s="23" t="s">
        <v>42</v>
      </c>
      <c r="E29" s="23">
        <v>180</v>
      </c>
      <c r="F29" s="23">
        <v>3</v>
      </c>
      <c r="G29" s="23">
        <v>1</v>
      </c>
      <c r="H29" s="23">
        <v>36.9</v>
      </c>
      <c r="I29" s="23">
        <f>ROUND(I28-H29,1)</f>
        <v>128.6</v>
      </c>
      <c r="J29" s="23">
        <f t="shared" si="0"/>
        <v>25.2</v>
      </c>
      <c r="K29" s="23">
        <v>37.9</v>
      </c>
      <c r="L29" s="23">
        <f>ROUND(L28-K29,1)</f>
        <v>127.8</v>
      </c>
      <c r="M29" s="23">
        <f t="shared" si="1"/>
        <v>25.9</v>
      </c>
      <c r="N29" s="23">
        <f t="shared" si="2"/>
        <v>25.6</v>
      </c>
      <c r="O29" s="23">
        <f t="shared" si="3"/>
        <v>0.5</v>
      </c>
      <c r="P29" s="23">
        <f t="shared" si="4"/>
        <v>0.9</v>
      </c>
      <c r="Q29" s="23"/>
      <c r="R29" s="23"/>
    </row>
    <row r="30" spans="1:18" x14ac:dyDescent="0.2">
      <c r="A30" s="23" t="s">
        <v>0</v>
      </c>
      <c r="B30" s="23">
        <v>30</v>
      </c>
      <c r="C30" s="23">
        <v>0</v>
      </c>
      <c r="D30" s="23" t="s">
        <v>42</v>
      </c>
      <c r="E30" s="23">
        <v>240</v>
      </c>
      <c r="F30" s="23">
        <v>4</v>
      </c>
      <c r="G30" s="23">
        <v>1</v>
      </c>
      <c r="H30" s="23">
        <v>36.200000000000003</v>
      </c>
      <c r="I30" s="23">
        <f>ROUND(I29-H30,1)</f>
        <v>92.4</v>
      </c>
      <c r="J30" s="23">
        <f t="shared" si="0"/>
        <v>24.7</v>
      </c>
      <c r="K30" s="23">
        <v>35.5</v>
      </c>
      <c r="L30" s="23">
        <f>ROUND(L29-K30,1)</f>
        <v>92.3</v>
      </c>
      <c r="M30" s="23">
        <f t="shared" si="1"/>
        <v>24.2</v>
      </c>
      <c r="N30" s="23">
        <f t="shared" si="2"/>
        <v>24.5</v>
      </c>
      <c r="O30" s="23">
        <f t="shared" si="3"/>
        <v>0.4</v>
      </c>
      <c r="P30" s="23">
        <f t="shared" si="4"/>
        <v>0.8</v>
      </c>
      <c r="Q30" s="23"/>
      <c r="R30" s="23"/>
    </row>
    <row r="31" spans="1:18" x14ac:dyDescent="0.2">
      <c r="A31" s="23" t="s">
        <v>0</v>
      </c>
      <c r="B31" s="23">
        <v>30</v>
      </c>
      <c r="C31" s="23">
        <v>0</v>
      </c>
      <c r="D31" s="23" t="s">
        <v>42</v>
      </c>
      <c r="E31" s="23">
        <v>300</v>
      </c>
      <c r="F31" s="23">
        <v>5</v>
      </c>
      <c r="G31" s="23">
        <v>1</v>
      </c>
      <c r="H31" s="23">
        <v>34</v>
      </c>
      <c r="I31" s="23">
        <f>ROUND(I30-H31,1)</f>
        <v>58.4</v>
      </c>
      <c r="J31" s="23">
        <f t="shared" si="0"/>
        <v>23.2</v>
      </c>
      <c r="K31" s="23">
        <v>34.799999999999997</v>
      </c>
      <c r="L31" s="23">
        <f>ROUND(L30-K31,1)</f>
        <v>57.5</v>
      </c>
      <c r="M31" s="23">
        <f t="shared" si="1"/>
        <v>23.8</v>
      </c>
      <c r="N31" s="23">
        <f t="shared" si="2"/>
        <v>23.5</v>
      </c>
      <c r="O31" s="23">
        <f t="shared" si="3"/>
        <v>0.4</v>
      </c>
      <c r="P31" s="23">
        <f t="shared" si="4"/>
        <v>0.8</v>
      </c>
      <c r="Q31" s="23"/>
      <c r="R31" s="23"/>
    </row>
    <row r="32" spans="1:18" x14ac:dyDescent="0.2">
      <c r="A32" s="25" t="s">
        <v>0</v>
      </c>
      <c r="B32" s="25">
        <v>30</v>
      </c>
      <c r="C32" s="25">
        <v>0</v>
      </c>
      <c r="D32" s="25" t="s">
        <v>55</v>
      </c>
      <c r="E32" s="25">
        <v>60</v>
      </c>
      <c r="F32" s="25">
        <v>1</v>
      </c>
      <c r="G32" s="25">
        <v>1</v>
      </c>
      <c r="H32" s="25">
        <v>43.2</v>
      </c>
      <c r="I32" s="25">
        <f>ROUND($B$6-H32,1)</f>
        <v>206.8</v>
      </c>
      <c r="J32" s="25">
        <f t="shared" si="0"/>
        <v>29.5</v>
      </c>
      <c r="K32" s="25">
        <v>42.7</v>
      </c>
      <c r="L32" s="25">
        <f>ROUND($B$6-K32,1)</f>
        <v>207.3</v>
      </c>
      <c r="M32" s="25">
        <f t="shared" si="1"/>
        <v>29.2</v>
      </c>
      <c r="N32" s="25">
        <f t="shared" si="2"/>
        <v>29.4</v>
      </c>
      <c r="O32" s="25">
        <f t="shared" si="3"/>
        <v>0.2</v>
      </c>
      <c r="P32" s="25">
        <f t="shared" si="4"/>
        <v>1</v>
      </c>
      <c r="Q32" s="25">
        <f>ROUND(N32/N26*100,1)</f>
        <v>89.9</v>
      </c>
      <c r="R32" s="25">
        <f>ROUND(STDEV(J32/J26*100,M32/M26*100),1)</f>
        <v>0.1</v>
      </c>
    </row>
    <row r="33" spans="1:18" x14ac:dyDescent="0.2">
      <c r="A33" s="25" t="s">
        <v>0</v>
      </c>
      <c r="B33" s="25">
        <v>30</v>
      </c>
      <c r="C33" s="25">
        <v>0</v>
      </c>
      <c r="D33" s="25" t="s">
        <v>55</v>
      </c>
      <c r="E33" s="25">
        <v>120</v>
      </c>
      <c r="F33" s="25">
        <v>2</v>
      </c>
      <c r="G33" s="25">
        <v>1</v>
      </c>
      <c r="H33" s="25">
        <v>44</v>
      </c>
      <c r="I33" s="25">
        <f>ROUND(I32-H33,1)</f>
        <v>162.80000000000001</v>
      </c>
      <c r="J33" s="25">
        <f t="shared" si="0"/>
        <v>30.1</v>
      </c>
      <c r="K33" s="25">
        <v>45</v>
      </c>
      <c r="L33" s="25">
        <f>ROUND(L32-K33,1)</f>
        <v>162.30000000000001</v>
      </c>
      <c r="M33" s="25">
        <f t="shared" si="1"/>
        <v>30.7</v>
      </c>
      <c r="N33" s="25">
        <f t="shared" si="2"/>
        <v>30.4</v>
      </c>
      <c r="O33" s="25">
        <f t="shared" si="3"/>
        <v>0.4</v>
      </c>
      <c r="P33" s="25">
        <f t="shared" si="4"/>
        <v>1</v>
      </c>
      <c r="Q33" s="25">
        <f>ROUND(N33/N26*100,1)</f>
        <v>93</v>
      </c>
      <c r="R33" s="25">
        <f>ROUND(STDEV(J33/J26*100,M33/M26*100),1)</f>
        <v>2.1</v>
      </c>
    </row>
    <row r="34" spans="1:18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1:18" x14ac:dyDescent="0.2">
      <c r="A35" s="34" t="s">
        <v>65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 ht="34" x14ac:dyDescent="0.2">
      <c r="A36" s="33" t="s">
        <v>19</v>
      </c>
      <c r="B36" s="33" t="s">
        <v>26</v>
      </c>
      <c r="C36" s="33" t="s">
        <v>53</v>
      </c>
      <c r="D36" s="33" t="s">
        <v>27</v>
      </c>
      <c r="E36" s="33" t="s">
        <v>28</v>
      </c>
      <c r="F36" s="33" t="s">
        <v>4</v>
      </c>
      <c r="G36" s="33" t="s">
        <v>29</v>
      </c>
      <c r="H36" s="33" t="s">
        <v>30</v>
      </c>
      <c r="I36" s="33" t="s">
        <v>31</v>
      </c>
      <c r="J36" s="33" t="s">
        <v>32</v>
      </c>
      <c r="K36" s="33" t="s">
        <v>33</v>
      </c>
      <c r="L36" s="33" t="s">
        <v>34</v>
      </c>
      <c r="M36" s="33" t="s">
        <v>35</v>
      </c>
      <c r="N36" s="33" t="s">
        <v>36</v>
      </c>
      <c r="O36" s="33" t="s">
        <v>37</v>
      </c>
      <c r="P36" s="33" t="s">
        <v>38</v>
      </c>
      <c r="Q36" s="33" t="s">
        <v>54</v>
      </c>
      <c r="R36" s="33" t="s">
        <v>44</v>
      </c>
    </row>
    <row r="37" spans="1:18" x14ac:dyDescent="0.2">
      <c r="A37" s="21" t="s">
        <v>5</v>
      </c>
      <c r="B37" s="21">
        <v>12</v>
      </c>
      <c r="C37" s="21">
        <v>0</v>
      </c>
      <c r="D37" s="21" t="s">
        <v>39</v>
      </c>
      <c r="E37" s="21">
        <v>300</v>
      </c>
      <c r="F37" s="21">
        <v>5</v>
      </c>
      <c r="G37" s="21">
        <v>1</v>
      </c>
      <c r="H37" s="21">
        <v>47.4</v>
      </c>
      <c r="I37" s="21"/>
      <c r="J37" s="21">
        <f t="shared" ref="J37:J60" si="5">ROUND(H37/1000/$B$2/G37,1)</f>
        <v>32.4</v>
      </c>
      <c r="K37" s="21">
        <v>48</v>
      </c>
      <c r="L37" s="21"/>
      <c r="M37" s="21">
        <f t="shared" ref="M37:M60" si="6">ROUND(K37/1000/$B$2/G37,1)</f>
        <v>32.799999999999997</v>
      </c>
      <c r="N37" s="21">
        <f t="shared" ref="N37:N60" si="7">ROUND(AVERAGE(J37,M37),1)</f>
        <v>32.6</v>
      </c>
      <c r="O37" s="21">
        <f t="shared" ref="O37:O60" si="8">ROUND(STDEV(J37,M37),1)</f>
        <v>0.3</v>
      </c>
      <c r="P37" s="21">
        <f t="shared" ref="P37:P60" si="9">ROUND(N37/B37,1)</f>
        <v>2.7</v>
      </c>
      <c r="Q37" s="21"/>
      <c r="R37" s="21"/>
    </row>
    <row r="38" spans="1:18" x14ac:dyDescent="0.2">
      <c r="A38" s="23" t="s">
        <v>5</v>
      </c>
      <c r="B38" s="23">
        <v>12</v>
      </c>
      <c r="C38" s="23">
        <v>0</v>
      </c>
      <c r="D38" s="23" t="s">
        <v>42</v>
      </c>
      <c r="E38" s="23">
        <v>60</v>
      </c>
      <c r="F38" s="23">
        <v>1</v>
      </c>
      <c r="G38" s="23">
        <v>1</v>
      </c>
      <c r="H38" s="23">
        <v>42.4</v>
      </c>
      <c r="I38" s="23">
        <f>ROUND($B$6-H38,1)</f>
        <v>207.6</v>
      </c>
      <c r="J38" s="23">
        <f t="shared" si="5"/>
        <v>29</v>
      </c>
      <c r="K38" s="23">
        <v>41.7</v>
      </c>
      <c r="L38" s="23">
        <f>ROUND($B$6-K38,1)</f>
        <v>208.3</v>
      </c>
      <c r="M38" s="23">
        <f t="shared" si="6"/>
        <v>28.5</v>
      </c>
      <c r="N38" s="23">
        <f t="shared" si="7"/>
        <v>28.8</v>
      </c>
      <c r="O38" s="23">
        <f t="shared" si="8"/>
        <v>0.4</v>
      </c>
      <c r="P38" s="23">
        <f t="shared" si="9"/>
        <v>2.4</v>
      </c>
      <c r="Q38" s="23"/>
      <c r="R38" s="23"/>
    </row>
    <row r="39" spans="1:18" x14ac:dyDescent="0.2">
      <c r="A39" s="23" t="s">
        <v>5</v>
      </c>
      <c r="B39" s="23">
        <v>12</v>
      </c>
      <c r="C39" s="23">
        <v>0</v>
      </c>
      <c r="D39" s="23" t="s">
        <v>42</v>
      </c>
      <c r="E39" s="23">
        <v>120</v>
      </c>
      <c r="F39" s="23">
        <v>2</v>
      </c>
      <c r="G39" s="23">
        <v>1</v>
      </c>
      <c r="H39" s="23">
        <v>34.5</v>
      </c>
      <c r="I39" s="23">
        <f>ROUND(I38-H39,1)</f>
        <v>173.1</v>
      </c>
      <c r="J39" s="23">
        <f t="shared" si="5"/>
        <v>23.6</v>
      </c>
      <c r="K39" s="23">
        <v>35.4</v>
      </c>
      <c r="L39" s="23">
        <f>ROUND(L38-K39,1)</f>
        <v>172.9</v>
      </c>
      <c r="M39" s="23">
        <f t="shared" si="6"/>
        <v>24.2</v>
      </c>
      <c r="N39" s="23">
        <f t="shared" si="7"/>
        <v>23.9</v>
      </c>
      <c r="O39" s="23">
        <f t="shared" si="8"/>
        <v>0.4</v>
      </c>
      <c r="P39" s="23">
        <f t="shared" si="9"/>
        <v>2</v>
      </c>
      <c r="Q39" s="23"/>
      <c r="R39" s="23"/>
    </row>
    <row r="40" spans="1:18" x14ac:dyDescent="0.2">
      <c r="A40" s="23" t="s">
        <v>5</v>
      </c>
      <c r="B40" s="23">
        <v>12</v>
      </c>
      <c r="C40" s="23">
        <v>0</v>
      </c>
      <c r="D40" s="23" t="s">
        <v>42</v>
      </c>
      <c r="E40" s="23">
        <v>180</v>
      </c>
      <c r="F40" s="23">
        <v>3</v>
      </c>
      <c r="G40" s="23">
        <v>1</v>
      </c>
      <c r="H40" s="23">
        <v>31.8</v>
      </c>
      <c r="I40" s="23">
        <f>ROUND(I39-H40,1)</f>
        <v>141.30000000000001</v>
      </c>
      <c r="J40" s="23">
        <f t="shared" si="5"/>
        <v>21.7</v>
      </c>
      <c r="K40" s="23">
        <v>30.8</v>
      </c>
      <c r="L40" s="23">
        <f>ROUND(L39-K40,1)</f>
        <v>142.1</v>
      </c>
      <c r="M40" s="23">
        <f t="shared" si="6"/>
        <v>21</v>
      </c>
      <c r="N40" s="23">
        <f t="shared" si="7"/>
        <v>21.4</v>
      </c>
      <c r="O40" s="23">
        <f t="shared" si="8"/>
        <v>0.5</v>
      </c>
      <c r="P40" s="23">
        <f t="shared" si="9"/>
        <v>1.8</v>
      </c>
      <c r="Q40" s="23"/>
      <c r="R40" s="23"/>
    </row>
    <row r="41" spans="1:18" x14ac:dyDescent="0.2">
      <c r="A41" s="23" t="s">
        <v>5</v>
      </c>
      <c r="B41" s="23">
        <v>12</v>
      </c>
      <c r="C41" s="23">
        <v>0</v>
      </c>
      <c r="D41" s="23" t="s">
        <v>42</v>
      </c>
      <c r="E41" s="23">
        <v>240</v>
      </c>
      <c r="F41" s="23">
        <v>4</v>
      </c>
      <c r="G41" s="23">
        <v>1</v>
      </c>
      <c r="H41" s="23">
        <v>23</v>
      </c>
      <c r="I41" s="23">
        <f>ROUND(I40-H41,1)</f>
        <v>118.3</v>
      </c>
      <c r="J41" s="23">
        <f t="shared" si="5"/>
        <v>15.7</v>
      </c>
      <c r="K41" s="23">
        <v>23.6</v>
      </c>
      <c r="L41" s="23">
        <f>ROUND(L40-K41,1)</f>
        <v>118.5</v>
      </c>
      <c r="M41" s="23">
        <f t="shared" si="6"/>
        <v>16.100000000000001</v>
      </c>
      <c r="N41" s="23">
        <f t="shared" si="7"/>
        <v>15.9</v>
      </c>
      <c r="O41" s="23">
        <f t="shared" si="8"/>
        <v>0.3</v>
      </c>
      <c r="P41" s="23">
        <f t="shared" si="9"/>
        <v>1.3</v>
      </c>
      <c r="Q41" s="23"/>
      <c r="R41" s="23"/>
    </row>
    <row r="42" spans="1:18" x14ac:dyDescent="0.2">
      <c r="A42" s="23" t="s">
        <v>5</v>
      </c>
      <c r="B42" s="23">
        <v>12</v>
      </c>
      <c r="C42" s="23">
        <v>0</v>
      </c>
      <c r="D42" s="23" t="s">
        <v>42</v>
      </c>
      <c r="E42" s="23">
        <v>300</v>
      </c>
      <c r="F42" s="23">
        <v>5</v>
      </c>
      <c r="G42" s="23">
        <v>1</v>
      </c>
      <c r="H42" s="23">
        <v>20.9</v>
      </c>
      <c r="I42" s="23">
        <f>ROUND(I41-H42,1)</f>
        <v>97.4</v>
      </c>
      <c r="J42" s="23">
        <f t="shared" si="5"/>
        <v>14.3</v>
      </c>
      <c r="K42" s="23">
        <v>20.100000000000001</v>
      </c>
      <c r="L42" s="23">
        <f>ROUND(L41-K42,1)</f>
        <v>98.4</v>
      </c>
      <c r="M42" s="23">
        <f t="shared" si="6"/>
        <v>13.7</v>
      </c>
      <c r="N42" s="23">
        <f t="shared" si="7"/>
        <v>14</v>
      </c>
      <c r="O42" s="23">
        <f t="shared" si="8"/>
        <v>0.4</v>
      </c>
      <c r="P42" s="23">
        <f t="shared" si="9"/>
        <v>1.2</v>
      </c>
      <c r="Q42" s="23"/>
      <c r="R42" s="23"/>
    </row>
    <row r="43" spans="1:18" x14ac:dyDescent="0.2">
      <c r="A43" s="25" t="s">
        <v>5</v>
      </c>
      <c r="B43" s="25">
        <v>12</v>
      </c>
      <c r="C43" s="25">
        <v>0</v>
      </c>
      <c r="D43" s="25" t="s">
        <v>55</v>
      </c>
      <c r="E43" s="25">
        <v>60</v>
      </c>
      <c r="F43" s="25">
        <v>1</v>
      </c>
      <c r="G43" s="25">
        <v>1</v>
      </c>
      <c r="H43" s="25">
        <v>29.2</v>
      </c>
      <c r="I43" s="25">
        <f>ROUND($B$6-H43,1)</f>
        <v>220.8</v>
      </c>
      <c r="J43" s="25">
        <f t="shared" si="5"/>
        <v>19.899999999999999</v>
      </c>
      <c r="K43" s="25">
        <v>29.7</v>
      </c>
      <c r="L43" s="25">
        <f>ROUND($B$6-K43,1)</f>
        <v>220.3</v>
      </c>
      <c r="M43" s="25">
        <f t="shared" si="6"/>
        <v>20.3</v>
      </c>
      <c r="N43" s="25">
        <f t="shared" si="7"/>
        <v>20.100000000000001</v>
      </c>
      <c r="O43" s="25">
        <f t="shared" si="8"/>
        <v>0.3</v>
      </c>
      <c r="P43" s="25">
        <f t="shared" si="9"/>
        <v>1.7</v>
      </c>
      <c r="Q43" s="25">
        <f>ROUND(N43/N37*100,1)</f>
        <v>61.7</v>
      </c>
      <c r="R43" s="25">
        <f>ROUND(STDEV(J43/J37*100,M43/M37*100),1)</f>
        <v>0.3</v>
      </c>
    </row>
    <row r="44" spans="1:18" x14ac:dyDescent="0.2">
      <c r="A44" s="25" t="s">
        <v>5</v>
      </c>
      <c r="B44" s="25">
        <v>12</v>
      </c>
      <c r="C44" s="25">
        <v>0</v>
      </c>
      <c r="D44" s="25" t="s">
        <v>55</v>
      </c>
      <c r="E44" s="25">
        <v>120</v>
      </c>
      <c r="F44" s="25">
        <v>2</v>
      </c>
      <c r="G44" s="25">
        <v>1</v>
      </c>
      <c r="H44" s="25">
        <v>31</v>
      </c>
      <c r="I44" s="25">
        <f>ROUND(I43-H44,1)</f>
        <v>189.8</v>
      </c>
      <c r="J44" s="25">
        <f t="shared" si="5"/>
        <v>21.2</v>
      </c>
      <c r="K44" s="25">
        <v>30</v>
      </c>
      <c r="L44" s="25">
        <f>ROUND(L43-K44,1)</f>
        <v>190.3</v>
      </c>
      <c r="M44" s="25">
        <f t="shared" si="6"/>
        <v>20.5</v>
      </c>
      <c r="N44" s="25">
        <f t="shared" si="7"/>
        <v>20.9</v>
      </c>
      <c r="O44" s="25">
        <f t="shared" si="8"/>
        <v>0.5</v>
      </c>
      <c r="P44" s="25">
        <f t="shared" si="9"/>
        <v>1.7</v>
      </c>
      <c r="Q44" s="25">
        <f>ROUND(N44/N37*100,1)</f>
        <v>64.099999999999994</v>
      </c>
      <c r="R44" s="25">
        <f>ROUND(STDEV(J44/J37*100,M44/M37*100),1)</f>
        <v>2.1</v>
      </c>
    </row>
    <row r="45" spans="1:18" x14ac:dyDescent="0.2">
      <c r="A45" s="21" t="s">
        <v>1</v>
      </c>
      <c r="B45" s="21">
        <v>30</v>
      </c>
      <c r="C45" s="21">
        <v>0</v>
      </c>
      <c r="D45" s="21" t="s">
        <v>39</v>
      </c>
      <c r="E45" s="21">
        <v>300</v>
      </c>
      <c r="F45" s="21">
        <v>5</v>
      </c>
      <c r="G45" s="21">
        <v>1</v>
      </c>
      <c r="H45" s="21">
        <v>47.6</v>
      </c>
      <c r="I45" s="21"/>
      <c r="J45" s="21">
        <f t="shared" si="5"/>
        <v>32.5</v>
      </c>
      <c r="K45" s="21">
        <v>48.1</v>
      </c>
      <c r="L45" s="21"/>
      <c r="M45" s="21">
        <f t="shared" si="6"/>
        <v>32.9</v>
      </c>
      <c r="N45" s="21">
        <f t="shared" si="7"/>
        <v>32.700000000000003</v>
      </c>
      <c r="O45" s="21">
        <f t="shared" si="8"/>
        <v>0.3</v>
      </c>
      <c r="P45" s="21">
        <f t="shared" si="9"/>
        <v>1.1000000000000001</v>
      </c>
      <c r="Q45" s="21"/>
      <c r="R45" s="21"/>
    </row>
    <row r="46" spans="1:18" x14ac:dyDescent="0.2">
      <c r="A46" s="23" t="s">
        <v>1</v>
      </c>
      <c r="B46" s="23">
        <v>30</v>
      </c>
      <c r="C46" s="23">
        <v>0</v>
      </c>
      <c r="D46" s="23" t="s">
        <v>42</v>
      </c>
      <c r="E46" s="23">
        <v>60</v>
      </c>
      <c r="F46" s="23">
        <v>1</v>
      </c>
      <c r="G46" s="23">
        <v>1</v>
      </c>
      <c r="H46" s="23">
        <v>42.4</v>
      </c>
      <c r="I46" s="23">
        <f>ROUND($B$6-H46,1)</f>
        <v>207.6</v>
      </c>
      <c r="J46" s="23">
        <f t="shared" si="5"/>
        <v>29</v>
      </c>
      <c r="K46" s="23">
        <v>41.8</v>
      </c>
      <c r="L46" s="23">
        <f>ROUND($B$6-K46,1)</f>
        <v>208.2</v>
      </c>
      <c r="M46" s="23">
        <f t="shared" si="6"/>
        <v>28.6</v>
      </c>
      <c r="N46" s="23">
        <f t="shared" si="7"/>
        <v>28.8</v>
      </c>
      <c r="O46" s="23">
        <f t="shared" si="8"/>
        <v>0.3</v>
      </c>
      <c r="P46" s="23">
        <f t="shared" si="9"/>
        <v>1</v>
      </c>
      <c r="Q46" s="23"/>
      <c r="R46" s="23"/>
    </row>
    <row r="47" spans="1:18" x14ac:dyDescent="0.2">
      <c r="A47" s="23" t="s">
        <v>1</v>
      </c>
      <c r="B47" s="23">
        <v>30</v>
      </c>
      <c r="C47" s="23">
        <v>0</v>
      </c>
      <c r="D47" s="23" t="s">
        <v>42</v>
      </c>
      <c r="E47" s="23">
        <v>120</v>
      </c>
      <c r="F47" s="23">
        <v>2</v>
      </c>
      <c r="G47" s="23">
        <v>1</v>
      </c>
      <c r="H47" s="23">
        <v>38.1</v>
      </c>
      <c r="I47" s="23">
        <f>ROUND(I46-H47,1)</f>
        <v>169.5</v>
      </c>
      <c r="J47" s="23">
        <f t="shared" si="5"/>
        <v>26</v>
      </c>
      <c r="K47" s="23">
        <v>38.799999999999997</v>
      </c>
      <c r="L47" s="23">
        <f>ROUND(L46-K47,1)</f>
        <v>169.4</v>
      </c>
      <c r="M47" s="23">
        <f t="shared" si="6"/>
        <v>26.5</v>
      </c>
      <c r="N47" s="23">
        <f t="shared" si="7"/>
        <v>26.3</v>
      </c>
      <c r="O47" s="23">
        <f t="shared" si="8"/>
        <v>0.4</v>
      </c>
      <c r="P47" s="23">
        <f t="shared" si="9"/>
        <v>0.9</v>
      </c>
      <c r="Q47" s="23"/>
      <c r="R47" s="23"/>
    </row>
    <row r="48" spans="1:18" x14ac:dyDescent="0.2">
      <c r="A48" s="23" t="s">
        <v>1</v>
      </c>
      <c r="B48" s="23">
        <v>30</v>
      </c>
      <c r="C48" s="23">
        <v>0</v>
      </c>
      <c r="D48" s="23" t="s">
        <v>42</v>
      </c>
      <c r="E48" s="23">
        <v>180</v>
      </c>
      <c r="F48" s="23">
        <v>3</v>
      </c>
      <c r="G48" s="23">
        <v>1</v>
      </c>
      <c r="H48" s="23">
        <v>37</v>
      </c>
      <c r="I48" s="23">
        <f>ROUND(I47-H48,1)</f>
        <v>132.5</v>
      </c>
      <c r="J48" s="23">
        <f t="shared" si="5"/>
        <v>25.3</v>
      </c>
      <c r="K48" s="23">
        <v>36.200000000000003</v>
      </c>
      <c r="L48" s="23">
        <f>ROUND(L47-K48,1)</f>
        <v>133.19999999999999</v>
      </c>
      <c r="M48" s="23">
        <f t="shared" si="6"/>
        <v>24.7</v>
      </c>
      <c r="N48" s="23">
        <f t="shared" si="7"/>
        <v>25</v>
      </c>
      <c r="O48" s="23">
        <f t="shared" si="8"/>
        <v>0.4</v>
      </c>
      <c r="P48" s="23">
        <f t="shared" si="9"/>
        <v>0.8</v>
      </c>
      <c r="Q48" s="23"/>
      <c r="R48" s="23"/>
    </row>
    <row r="49" spans="1:18" x14ac:dyDescent="0.2">
      <c r="A49" s="23" t="s">
        <v>1</v>
      </c>
      <c r="B49" s="23">
        <v>30</v>
      </c>
      <c r="C49" s="23">
        <v>0</v>
      </c>
      <c r="D49" s="23" t="s">
        <v>42</v>
      </c>
      <c r="E49" s="23">
        <v>240</v>
      </c>
      <c r="F49" s="23">
        <v>4</v>
      </c>
      <c r="G49" s="23">
        <v>1</v>
      </c>
      <c r="H49" s="23">
        <v>32.299999999999997</v>
      </c>
      <c r="I49" s="23">
        <f>ROUND(I48-H49,1)</f>
        <v>100.2</v>
      </c>
      <c r="J49" s="23">
        <f t="shared" si="5"/>
        <v>22.1</v>
      </c>
      <c r="K49" s="23">
        <v>33.200000000000003</v>
      </c>
      <c r="L49" s="23">
        <f>ROUND(L48-K49,1)</f>
        <v>100</v>
      </c>
      <c r="M49" s="23">
        <f t="shared" si="6"/>
        <v>22.7</v>
      </c>
      <c r="N49" s="23">
        <f t="shared" si="7"/>
        <v>22.4</v>
      </c>
      <c r="O49" s="23">
        <f t="shared" si="8"/>
        <v>0.4</v>
      </c>
      <c r="P49" s="23">
        <f t="shared" si="9"/>
        <v>0.7</v>
      </c>
      <c r="Q49" s="23"/>
      <c r="R49" s="23"/>
    </row>
    <row r="50" spans="1:18" x14ac:dyDescent="0.2">
      <c r="A50" s="23" t="s">
        <v>1</v>
      </c>
      <c r="B50" s="23">
        <v>30</v>
      </c>
      <c r="C50" s="23">
        <v>0</v>
      </c>
      <c r="D50" s="23" t="s">
        <v>42</v>
      </c>
      <c r="E50" s="23">
        <v>300</v>
      </c>
      <c r="F50" s="23">
        <v>5</v>
      </c>
      <c r="G50" s="23">
        <v>1</v>
      </c>
      <c r="H50" s="23">
        <v>31.1</v>
      </c>
      <c r="I50" s="23">
        <f>ROUND(I49-H50,1)</f>
        <v>69.099999999999994</v>
      </c>
      <c r="J50" s="23">
        <f t="shared" si="5"/>
        <v>21.2</v>
      </c>
      <c r="K50" s="23">
        <v>30.5</v>
      </c>
      <c r="L50" s="23">
        <f>ROUND(L49-K50,1)</f>
        <v>69.5</v>
      </c>
      <c r="M50" s="23">
        <f t="shared" si="6"/>
        <v>20.8</v>
      </c>
      <c r="N50" s="23">
        <f t="shared" si="7"/>
        <v>21</v>
      </c>
      <c r="O50" s="23">
        <f t="shared" si="8"/>
        <v>0.3</v>
      </c>
      <c r="P50" s="23">
        <f t="shared" si="9"/>
        <v>0.7</v>
      </c>
      <c r="Q50" s="23"/>
      <c r="R50" s="23"/>
    </row>
    <row r="51" spans="1:18" x14ac:dyDescent="0.2">
      <c r="A51" s="25" t="s">
        <v>1</v>
      </c>
      <c r="B51" s="25">
        <v>30</v>
      </c>
      <c r="C51" s="25">
        <v>0</v>
      </c>
      <c r="D51" s="25" t="s">
        <v>55</v>
      </c>
      <c r="E51" s="25">
        <v>60</v>
      </c>
      <c r="F51" s="25">
        <v>1</v>
      </c>
      <c r="G51" s="25">
        <v>1</v>
      </c>
      <c r="H51" s="25">
        <v>40.299999999999997</v>
      </c>
      <c r="I51" s="25">
        <f>ROUND($B$6-H51,1)</f>
        <v>209.7</v>
      </c>
      <c r="J51" s="25">
        <f t="shared" si="5"/>
        <v>27.5</v>
      </c>
      <c r="K51" s="25">
        <v>41</v>
      </c>
      <c r="L51" s="25">
        <f>ROUND($B$6-K51,1)</f>
        <v>209</v>
      </c>
      <c r="M51" s="25">
        <f t="shared" si="6"/>
        <v>28</v>
      </c>
      <c r="N51" s="25">
        <f t="shared" si="7"/>
        <v>27.8</v>
      </c>
      <c r="O51" s="25">
        <f t="shared" si="8"/>
        <v>0.4</v>
      </c>
      <c r="P51" s="25">
        <f t="shared" si="9"/>
        <v>0.9</v>
      </c>
      <c r="Q51" s="25">
        <f>ROUND(N51/N45*100,1)</f>
        <v>85</v>
      </c>
      <c r="R51" s="25">
        <f>ROUND(STDEV(J51/J45*100,M51/M45*100),1)</f>
        <v>0.3</v>
      </c>
    </row>
    <row r="52" spans="1:18" x14ac:dyDescent="0.2">
      <c r="A52" s="25" t="s">
        <v>1</v>
      </c>
      <c r="B52" s="25">
        <v>30</v>
      </c>
      <c r="C52" s="25">
        <v>0</v>
      </c>
      <c r="D52" s="25" t="s">
        <v>55</v>
      </c>
      <c r="E52" s="25">
        <v>120</v>
      </c>
      <c r="F52" s="25">
        <v>2</v>
      </c>
      <c r="G52" s="25">
        <v>1</v>
      </c>
      <c r="H52" s="25">
        <v>42.4</v>
      </c>
      <c r="I52" s="25">
        <f>ROUND(I51-H52,1)</f>
        <v>167.3</v>
      </c>
      <c r="J52" s="25">
        <f t="shared" si="5"/>
        <v>29</v>
      </c>
      <c r="K52" s="25">
        <v>41.9</v>
      </c>
      <c r="L52" s="25">
        <f>ROUND(L51-K52,1)</f>
        <v>167.1</v>
      </c>
      <c r="M52" s="25">
        <f t="shared" si="6"/>
        <v>28.6</v>
      </c>
      <c r="N52" s="25">
        <f t="shared" si="7"/>
        <v>28.8</v>
      </c>
      <c r="O52" s="25">
        <f t="shared" si="8"/>
        <v>0.3</v>
      </c>
      <c r="P52" s="25">
        <f t="shared" si="9"/>
        <v>1</v>
      </c>
      <c r="Q52" s="25">
        <f>ROUND(N52/N45*100,1)</f>
        <v>88.1</v>
      </c>
      <c r="R52" s="25">
        <f>ROUND(STDEV(J52/J45*100,M52/M45*100),1)</f>
        <v>1.6</v>
      </c>
    </row>
    <row r="53" spans="1:18" x14ac:dyDescent="0.2">
      <c r="A53" s="21" t="s">
        <v>0</v>
      </c>
      <c r="B53" s="21">
        <v>30</v>
      </c>
      <c r="C53" s="21">
        <v>0</v>
      </c>
      <c r="D53" s="21" t="s">
        <v>39</v>
      </c>
      <c r="E53" s="21">
        <v>300</v>
      </c>
      <c r="F53" s="21">
        <v>5</v>
      </c>
      <c r="G53" s="21">
        <v>1</v>
      </c>
      <c r="H53" s="21">
        <v>47.5</v>
      </c>
      <c r="I53" s="21"/>
      <c r="J53" s="21">
        <f t="shared" si="5"/>
        <v>32.4</v>
      </c>
      <c r="K53" s="21">
        <v>48.5</v>
      </c>
      <c r="L53" s="21"/>
      <c r="M53" s="21">
        <f t="shared" si="6"/>
        <v>33.1</v>
      </c>
      <c r="N53" s="21">
        <f t="shared" si="7"/>
        <v>32.799999999999997</v>
      </c>
      <c r="O53" s="21">
        <f t="shared" si="8"/>
        <v>0.5</v>
      </c>
      <c r="P53" s="21">
        <f t="shared" si="9"/>
        <v>1.1000000000000001</v>
      </c>
      <c r="Q53" s="21"/>
      <c r="R53" s="21"/>
    </row>
    <row r="54" spans="1:18" x14ac:dyDescent="0.2">
      <c r="A54" s="23" t="s">
        <v>0</v>
      </c>
      <c r="B54" s="23">
        <v>30</v>
      </c>
      <c r="C54" s="23">
        <v>0</v>
      </c>
      <c r="D54" s="23" t="s">
        <v>42</v>
      </c>
      <c r="E54" s="23">
        <v>60</v>
      </c>
      <c r="F54" s="23">
        <v>1</v>
      </c>
      <c r="G54" s="23">
        <v>1</v>
      </c>
      <c r="H54" s="23">
        <v>43.8</v>
      </c>
      <c r="I54" s="23">
        <f>ROUND($B$6-H54,1)</f>
        <v>206.2</v>
      </c>
      <c r="J54" s="23">
        <f t="shared" si="5"/>
        <v>29.9</v>
      </c>
      <c r="K54" s="23">
        <v>43.3</v>
      </c>
      <c r="L54" s="23">
        <f>ROUND($B$6-K54,1)</f>
        <v>206.7</v>
      </c>
      <c r="M54" s="23">
        <f t="shared" si="6"/>
        <v>29.6</v>
      </c>
      <c r="N54" s="23">
        <f t="shared" si="7"/>
        <v>29.8</v>
      </c>
      <c r="O54" s="23">
        <f t="shared" si="8"/>
        <v>0.2</v>
      </c>
      <c r="P54" s="23">
        <f t="shared" si="9"/>
        <v>1</v>
      </c>
      <c r="Q54" s="23"/>
      <c r="R54" s="23"/>
    </row>
    <row r="55" spans="1:18" x14ac:dyDescent="0.2">
      <c r="A55" s="23" t="s">
        <v>0</v>
      </c>
      <c r="B55" s="23">
        <v>30</v>
      </c>
      <c r="C55" s="23">
        <v>0</v>
      </c>
      <c r="D55" s="23" t="s">
        <v>42</v>
      </c>
      <c r="E55" s="23">
        <v>120</v>
      </c>
      <c r="F55" s="23">
        <v>2</v>
      </c>
      <c r="G55" s="23">
        <v>1</v>
      </c>
      <c r="H55" s="23">
        <v>40.799999999999997</v>
      </c>
      <c r="I55" s="23">
        <f>ROUND(I54-H55,1)</f>
        <v>165.4</v>
      </c>
      <c r="J55" s="23">
        <f t="shared" si="5"/>
        <v>27.9</v>
      </c>
      <c r="K55" s="23">
        <v>41.4</v>
      </c>
      <c r="L55" s="23">
        <f>ROUND(L54-K55,1)</f>
        <v>165.3</v>
      </c>
      <c r="M55" s="23">
        <f t="shared" si="6"/>
        <v>28.3</v>
      </c>
      <c r="N55" s="23">
        <f t="shared" si="7"/>
        <v>28.1</v>
      </c>
      <c r="O55" s="23">
        <f t="shared" si="8"/>
        <v>0.3</v>
      </c>
      <c r="P55" s="23">
        <f t="shared" si="9"/>
        <v>0.9</v>
      </c>
      <c r="Q55" s="23"/>
      <c r="R55" s="23"/>
    </row>
    <row r="56" spans="1:18" x14ac:dyDescent="0.2">
      <c r="A56" s="23" t="s">
        <v>0</v>
      </c>
      <c r="B56" s="23">
        <v>30</v>
      </c>
      <c r="C56" s="23">
        <v>0</v>
      </c>
      <c r="D56" s="23" t="s">
        <v>42</v>
      </c>
      <c r="E56" s="23">
        <v>180</v>
      </c>
      <c r="F56" s="23">
        <v>3</v>
      </c>
      <c r="G56" s="23">
        <v>1</v>
      </c>
      <c r="H56" s="23">
        <v>38</v>
      </c>
      <c r="I56" s="23">
        <f>ROUND(I55-H56,1)</f>
        <v>127.4</v>
      </c>
      <c r="J56" s="23">
        <f t="shared" si="5"/>
        <v>26</v>
      </c>
      <c r="K56" s="23">
        <v>37.299999999999997</v>
      </c>
      <c r="L56" s="23">
        <f>ROUND(L55-K56,1)</f>
        <v>128</v>
      </c>
      <c r="M56" s="23">
        <f t="shared" si="6"/>
        <v>25.5</v>
      </c>
      <c r="N56" s="23">
        <f t="shared" si="7"/>
        <v>25.8</v>
      </c>
      <c r="O56" s="23">
        <f t="shared" si="8"/>
        <v>0.4</v>
      </c>
      <c r="P56" s="23">
        <f t="shared" si="9"/>
        <v>0.9</v>
      </c>
      <c r="Q56" s="23"/>
      <c r="R56" s="23"/>
    </row>
    <row r="57" spans="1:18" x14ac:dyDescent="0.2">
      <c r="A57" s="23" t="s">
        <v>0</v>
      </c>
      <c r="B57" s="23">
        <v>30</v>
      </c>
      <c r="C57" s="23">
        <v>0</v>
      </c>
      <c r="D57" s="23" t="s">
        <v>42</v>
      </c>
      <c r="E57" s="23">
        <v>240</v>
      </c>
      <c r="F57" s="23">
        <v>4</v>
      </c>
      <c r="G57" s="23">
        <v>1</v>
      </c>
      <c r="H57" s="23">
        <v>35.799999999999997</v>
      </c>
      <c r="I57" s="23">
        <f>ROUND(I56-H57,1)</f>
        <v>91.6</v>
      </c>
      <c r="J57" s="23">
        <f t="shared" si="5"/>
        <v>24.5</v>
      </c>
      <c r="K57" s="23">
        <v>36.6</v>
      </c>
      <c r="L57" s="23">
        <f>ROUND(L56-K57,1)</f>
        <v>91.4</v>
      </c>
      <c r="M57" s="23">
        <f t="shared" si="6"/>
        <v>25</v>
      </c>
      <c r="N57" s="23">
        <f t="shared" si="7"/>
        <v>24.8</v>
      </c>
      <c r="O57" s="23">
        <f t="shared" si="8"/>
        <v>0.4</v>
      </c>
      <c r="P57" s="23">
        <f t="shared" si="9"/>
        <v>0.8</v>
      </c>
      <c r="Q57" s="23"/>
      <c r="R57" s="23"/>
    </row>
    <row r="58" spans="1:18" x14ac:dyDescent="0.2">
      <c r="A58" s="23" t="s">
        <v>0</v>
      </c>
      <c r="B58" s="23">
        <v>30</v>
      </c>
      <c r="C58" s="23">
        <v>0</v>
      </c>
      <c r="D58" s="23" t="s">
        <v>42</v>
      </c>
      <c r="E58" s="23">
        <v>300</v>
      </c>
      <c r="F58" s="23">
        <v>5</v>
      </c>
      <c r="G58" s="23">
        <v>1</v>
      </c>
      <c r="H58" s="23">
        <v>35.200000000000003</v>
      </c>
      <c r="I58" s="23">
        <f>ROUND(I57-H58,1)</f>
        <v>56.4</v>
      </c>
      <c r="J58" s="23">
        <f t="shared" si="5"/>
        <v>24</v>
      </c>
      <c r="K58" s="23">
        <v>34.299999999999997</v>
      </c>
      <c r="L58" s="23">
        <f>ROUND(L57-K58,1)</f>
        <v>57.1</v>
      </c>
      <c r="M58" s="23">
        <f t="shared" si="6"/>
        <v>23.4</v>
      </c>
      <c r="N58" s="23">
        <f t="shared" si="7"/>
        <v>23.7</v>
      </c>
      <c r="O58" s="23">
        <f t="shared" si="8"/>
        <v>0.4</v>
      </c>
      <c r="P58" s="23">
        <f t="shared" si="9"/>
        <v>0.8</v>
      </c>
      <c r="Q58" s="23"/>
      <c r="R58" s="23"/>
    </row>
    <row r="59" spans="1:18" x14ac:dyDescent="0.2">
      <c r="A59" s="25" t="s">
        <v>0</v>
      </c>
      <c r="B59" s="25">
        <v>30</v>
      </c>
      <c r="C59" s="25">
        <v>0</v>
      </c>
      <c r="D59" s="25" t="s">
        <v>55</v>
      </c>
      <c r="E59" s="25">
        <v>60</v>
      </c>
      <c r="F59" s="25">
        <v>1</v>
      </c>
      <c r="G59" s="25">
        <v>1</v>
      </c>
      <c r="H59" s="25">
        <v>46</v>
      </c>
      <c r="I59" s="25">
        <f>ROUND($B$6-H59,1)</f>
        <v>204</v>
      </c>
      <c r="J59" s="25">
        <f t="shared" si="5"/>
        <v>31.4</v>
      </c>
      <c r="K59" s="25">
        <v>46.6</v>
      </c>
      <c r="L59" s="25">
        <f>ROUND($B$6-K59,1)</f>
        <v>203.4</v>
      </c>
      <c r="M59" s="25">
        <f t="shared" si="6"/>
        <v>31.8</v>
      </c>
      <c r="N59" s="25">
        <f t="shared" si="7"/>
        <v>31.6</v>
      </c>
      <c r="O59" s="25">
        <f t="shared" si="8"/>
        <v>0.3</v>
      </c>
      <c r="P59" s="25">
        <f t="shared" si="9"/>
        <v>1.1000000000000001</v>
      </c>
      <c r="Q59" s="25">
        <f>ROUND(N59/N53*100,1)</f>
        <v>96.3</v>
      </c>
      <c r="R59" s="25">
        <f>ROUND(STDEV(J59/J53*100,M59/M53*100),1)</f>
        <v>0.6</v>
      </c>
    </row>
    <row r="60" spans="1:18" x14ac:dyDescent="0.2">
      <c r="A60" s="25" t="s">
        <v>0</v>
      </c>
      <c r="B60" s="25">
        <v>30</v>
      </c>
      <c r="C60" s="25">
        <v>0</v>
      </c>
      <c r="D60" s="25" t="s">
        <v>55</v>
      </c>
      <c r="E60" s="25">
        <v>120</v>
      </c>
      <c r="F60" s="25">
        <v>2</v>
      </c>
      <c r="G60" s="25">
        <v>1</v>
      </c>
      <c r="H60" s="25">
        <v>47.4</v>
      </c>
      <c r="I60" s="25">
        <f>ROUND(I59-H60,1)</f>
        <v>156.6</v>
      </c>
      <c r="J60" s="25">
        <f t="shared" si="5"/>
        <v>32.4</v>
      </c>
      <c r="K60" s="25">
        <v>46.7</v>
      </c>
      <c r="L60" s="25">
        <f>ROUND(L59-K60,1)</f>
        <v>156.69999999999999</v>
      </c>
      <c r="M60" s="25">
        <f t="shared" si="6"/>
        <v>31.9</v>
      </c>
      <c r="N60" s="25">
        <f t="shared" si="7"/>
        <v>32.200000000000003</v>
      </c>
      <c r="O60" s="25">
        <f t="shared" si="8"/>
        <v>0.4</v>
      </c>
      <c r="P60" s="25">
        <f t="shared" si="9"/>
        <v>1.1000000000000001</v>
      </c>
      <c r="Q60" s="25">
        <f>ROUND(N60/N53*100,1)</f>
        <v>98.2</v>
      </c>
      <c r="R60" s="25">
        <f>ROUND(STDEV(J60/J53*100,M60/M53*100),1)</f>
        <v>2.6</v>
      </c>
    </row>
    <row r="61" spans="1:18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spans="1:18" x14ac:dyDescent="0.2">
      <c r="A62" s="34" t="s">
        <v>66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1:18" ht="34" x14ac:dyDescent="0.2">
      <c r="A63" s="33" t="s">
        <v>19</v>
      </c>
      <c r="B63" s="33" t="s">
        <v>26</v>
      </c>
      <c r="C63" s="33" t="s">
        <v>53</v>
      </c>
      <c r="D63" s="33" t="s">
        <v>27</v>
      </c>
      <c r="E63" s="33" t="s">
        <v>28</v>
      </c>
      <c r="F63" s="33" t="s">
        <v>4</v>
      </c>
      <c r="G63" s="33" t="s">
        <v>29</v>
      </c>
      <c r="H63" s="33" t="s">
        <v>30</v>
      </c>
      <c r="I63" s="33" t="s">
        <v>31</v>
      </c>
      <c r="J63" s="33" t="s">
        <v>32</v>
      </c>
      <c r="K63" s="33" t="s">
        <v>33</v>
      </c>
      <c r="L63" s="33" t="s">
        <v>34</v>
      </c>
      <c r="M63" s="33" t="s">
        <v>35</v>
      </c>
      <c r="N63" s="33" t="s">
        <v>36</v>
      </c>
      <c r="O63" s="33" t="s">
        <v>37</v>
      </c>
      <c r="P63" s="33" t="s">
        <v>38</v>
      </c>
      <c r="Q63" s="33" t="s">
        <v>54</v>
      </c>
      <c r="R63" s="33" t="s">
        <v>44</v>
      </c>
    </row>
    <row r="64" spans="1:18" x14ac:dyDescent="0.2">
      <c r="A64" s="21" t="s">
        <v>5</v>
      </c>
      <c r="B64" s="21">
        <v>12</v>
      </c>
      <c r="C64" s="21">
        <v>0</v>
      </c>
      <c r="D64" s="21" t="s">
        <v>39</v>
      </c>
      <c r="E64" s="21">
        <v>300</v>
      </c>
      <c r="F64" s="21">
        <v>5</v>
      </c>
      <c r="G64" s="21">
        <v>1</v>
      </c>
      <c r="H64" s="21">
        <v>48.3</v>
      </c>
      <c r="I64" s="21"/>
      <c r="J64" s="21">
        <f t="shared" ref="J64:J87" si="10">ROUND(H64/1000/$B$2/G64,1)</f>
        <v>33</v>
      </c>
      <c r="K64" s="21">
        <v>47.3</v>
      </c>
      <c r="L64" s="21"/>
      <c r="M64" s="21">
        <f t="shared" ref="M64:M87" si="11">ROUND(K64/1000/$B$2/G64,1)</f>
        <v>32.299999999999997</v>
      </c>
      <c r="N64" s="21">
        <f t="shared" ref="N64:N87" si="12">ROUND(AVERAGE(J64,M64),1)</f>
        <v>32.700000000000003</v>
      </c>
      <c r="O64" s="21">
        <f t="shared" ref="O64:O87" si="13">ROUND(STDEV(J64,M64),1)</f>
        <v>0.5</v>
      </c>
      <c r="P64" s="21">
        <f t="shared" ref="P64:P87" si="14">ROUND(N64/B64,1)</f>
        <v>2.7</v>
      </c>
      <c r="Q64" s="21"/>
      <c r="R64" s="21"/>
    </row>
    <row r="65" spans="1:18" x14ac:dyDescent="0.2">
      <c r="A65" s="23" t="s">
        <v>5</v>
      </c>
      <c r="B65" s="23">
        <v>12</v>
      </c>
      <c r="C65" s="23">
        <v>0</v>
      </c>
      <c r="D65" s="23" t="s">
        <v>42</v>
      </c>
      <c r="E65" s="23">
        <v>60</v>
      </c>
      <c r="F65" s="23">
        <v>1</v>
      </c>
      <c r="G65" s="23">
        <v>1</v>
      </c>
      <c r="H65" s="23">
        <v>41.9</v>
      </c>
      <c r="I65" s="23">
        <f>ROUND($B$6-H65,1)</f>
        <v>208.1</v>
      </c>
      <c r="J65" s="23">
        <f t="shared" si="10"/>
        <v>28.6</v>
      </c>
      <c r="K65" s="23">
        <v>42.4</v>
      </c>
      <c r="L65" s="23">
        <f>ROUND($B$6-K65,1)</f>
        <v>207.6</v>
      </c>
      <c r="M65" s="23">
        <f t="shared" si="11"/>
        <v>29</v>
      </c>
      <c r="N65" s="23">
        <f t="shared" si="12"/>
        <v>28.8</v>
      </c>
      <c r="O65" s="23">
        <f t="shared" si="13"/>
        <v>0.3</v>
      </c>
      <c r="P65" s="23">
        <f t="shared" si="14"/>
        <v>2.4</v>
      </c>
      <c r="Q65" s="23"/>
      <c r="R65" s="23"/>
    </row>
    <row r="66" spans="1:18" x14ac:dyDescent="0.2">
      <c r="A66" s="23" t="s">
        <v>5</v>
      </c>
      <c r="B66" s="23">
        <v>12</v>
      </c>
      <c r="C66" s="23">
        <v>0</v>
      </c>
      <c r="D66" s="23" t="s">
        <v>42</v>
      </c>
      <c r="E66" s="23">
        <v>120</v>
      </c>
      <c r="F66" s="23">
        <v>2</v>
      </c>
      <c r="G66" s="23">
        <v>1</v>
      </c>
      <c r="H66" s="23">
        <v>35.4</v>
      </c>
      <c r="I66" s="23">
        <f>ROUND(I65-H66,1)</f>
        <v>172.7</v>
      </c>
      <c r="J66" s="23">
        <f t="shared" si="10"/>
        <v>24.2</v>
      </c>
      <c r="K66" s="23">
        <v>34.799999999999997</v>
      </c>
      <c r="L66" s="23">
        <f>ROUND(L65-K66,1)</f>
        <v>172.8</v>
      </c>
      <c r="M66" s="23">
        <f t="shared" si="11"/>
        <v>23.8</v>
      </c>
      <c r="N66" s="23">
        <f t="shared" si="12"/>
        <v>24</v>
      </c>
      <c r="O66" s="23">
        <f t="shared" si="13"/>
        <v>0.3</v>
      </c>
      <c r="P66" s="23">
        <f t="shared" si="14"/>
        <v>2</v>
      </c>
      <c r="Q66" s="23"/>
      <c r="R66" s="23"/>
    </row>
    <row r="67" spans="1:18" x14ac:dyDescent="0.2">
      <c r="A67" s="23" t="s">
        <v>5</v>
      </c>
      <c r="B67" s="23">
        <v>12</v>
      </c>
      <c r="C67" s="23">
        <v>0</v>
      </c>
      <c r="D67" s="23" t="s">
        <v>42</v>
      </c>
      <c r="E67" s="23">
        <v>180</v>
      </c>
      <c r="F67" s="23">
        <v>3</v>
      </c>
      <c r="G67" s="23">
        <v>1</v>
      </c>
      <c r="H67" s="23">
        <v>31.1</v>
      </c>
      <c r="I67" s="23">
        <f>ROUND(I66-H67,1)</f>
        <v>141.6</v>
      </c>
      <c r="J67" s="23">
        <f t="shared" si="10"/>
        <v>21.2</v>
      </c>
      <c r="K67" s="23">
        <v>31.8</v>
      </c>
      <c r="L67" s="23">
        <f>ROUND(L66-K67,1)</f>
        <v>141</v>
      </c>
      <c r="M67" s="23">
        <f t="shared" si="11"/>
        <v>21.7</v>
      </c>
      <c r="N67" s="23">
        <f t="shared" si="12"/>
        <v>21.5</v>
      </c>
      <c r="O67" s="23">
        <f t="shared" si="13"/>
        <v>0.4</v>
      </c>
      <c r="P67" s="23">
        <f t="shared" si="14"/>
        <v>1.8</v>
      </c>
      <c r="Q67" s="23"/>
      <c r="R67" s="23"/>
    </row>
    <row r="68" spans="1:18" x14ac:dyDescent="0.2">
      <c r="A68" s="23" t="s">
        <v>5</v>
      </c>
      <c r="B68" s="23">
        <v>12</v>
      </c>
      <c r="C68" s="23">
        <v>0</v>
      </c>
      <c r="D68" s="23" t="s">
        <v>42</v>
      </c>
      <c r="E68" s="23">
        <v>240</v>
      </c>
      <c r="F68" s="23">
        <v>4</v>
      </c>
      <c r="G68" s="23">
        <v>1</v>
      </c>
      <c r="H68" s="23">
        <v>23.9</v>
      </c>
      <c r="I68" s="23">
        <f>ROUND(I67-H68,1)</f>
        <v>117.7</v>
      </c>
      <c r="J68" s="23">
        <f t="shared" si="10"/>
        <v>16.3</v>
      </c>
      <c r="K68" s="23">
        <v>23</v>
      </c>
      <c r="L68" s="23">
        <f>ROUND(L67-K68,1)</f>
        <v>118</v>
      </c>
      <c r="M68" s="23">
        <f t="shared" si="11"/>
        <v>15.7</v>
      </c>
      <c r="N68" s="23">
        <f t="shared" si="12"/>
        <v>16</v>
      </c>
      <c r="O68" s="23">
        <f t="shared" si="13"/>
        <v>0.4</v>
      </c>
      <c r="P68" s="23">
        <f t="shared" si="14"/>
        <v>1.3</v>
      </c>
      <c r="Q68" s="23"/>
      <c r="R68" s="23"/>
    </row>
    <row r="69" spans="1:18" x14ac:dyDescent="0.2">
      <c r="A69" s="23" t="s">
        <v>5</v>
      </c>
      <c r="B69" s="23">
        <v>12</v>
      </c>
      <c r="C69" s="23">
        <v>0</v>
      </c>
      <c r="D69" s="23" t="s">
        <v>42</v>
      </c>
      <c r="E69" s="23">
        <v>300</v>
      </c>
      <c r="F69" s="23">
        <v>5</v>
      </c>
      <c r="G69" s="23">
        <v>1</v>
      </c>
      <c r="H69" s="23">
        <v>20.2</v>
      </c>
      <c r="I69" s="23">
        <f>ROUND(I68-H69,1)</f>
        <v>97.5</v>
      </c>
      <c r="J69" s="23">
        <f t="shared" si="10"/>
        <v>13.8</v>
      </c>
      <c r="K69" s="23">
        <v>21.1</v>
      </c>
      <c r="L69" s="23">
        <f>ROUND(L68-K69,1)</f>
        <v>96.9</v>
      </c>
      <c r="M69" s="23">
        <f t="shared" si="11"/>
        <v>14.4</v>
      </c>
      <c r="N69" s="23">
        <f t="shared" si="12"/>
        <v>14.1</v>
      </c>
      <c r="O69" s="23">
        <f t="shared" si="13"/>
        <v>0.4</v>
      </c>
      <c r="P69" s="23">
        <f t="shared" si="14"/>
        <v>1.2</v>
      </c>
      <c r="Q69" s="23"/>
      <c r="R69" s="23"/>
    </row>
    <row r="70" spans="1:18" x14ac:dyDescent="0.2">
      <c r="A70" s="25" t="s">
        <v>5</v>
      </c>
      <c r="B70" s="25">
        <v>12</v>
      </c>
      <c r="C70" s="25">
        <v>0</v>
      </c>
      <c r="D70" s="25" t="s">
        <v>55</v>
      </c>
      <c r="E70" s="25">
        <v>60</v>
      </c>
      <c r="F70" s="25">
        <v>1</v>
      </c>
      <c r="G70" s="25">
        <v>1</v>
      </c>
      <c r="H70" s="25">
        <v>40.5</v>
      </c>
      <c r="I70" s="25">
        <f>ROUND($B$6-H70,1)</f>
        <v>209.5</v>
      </c>
      <c r="J70" s="25">
        <f t="shared" si="10"/>
        <v>27.7</v>
      </c>
      <c r="K70" s="25">
        <v>39.799999999999997</v>
      </c>
      <c r="L70" s="25">
        <f>ROUND($B$6-K70,1)</f>
        <v>210.2</v>
      </c>
      <c r="M70" s="25">
        <f t="shared" si="11"/>
        <v>27.2</v>
      </c>
      <c r="N70" s="25">
        <f t="shared" si="12"/>
        <v>27.5</v>
      </c>
      <c r="O70" s="25">
        <f t="shared" si="13"/>
        <v>0.4</v>
      </c>
      <c r="P70" s="25">
        <f t="shared" si="14"/>
        <v>2.2999999999999998</v>
      </c>
      <c r="Q70" s="25">
        <f>ROUND(N70/N64*100,1)</f>
        <v>84.1</v>
      </c>
      <c r="R70" s="25">
        <f>ROUND(STDEV(J70/J64*100,M70/M64*100),1)</f>
        <v>0.2</v>
      </c>
    </row>
    <row r="71" spans="1:18" x14ac:dyDescent="0.2">
      <c r="A71" s="25" t="s">
        <v>5</v>
      </c>
      <c r="B71" s="25">
        <v>12</v>
      </c>
      <c r="C71" s="25">
        <v>0</v>
      </c>
      <c r="D71" s="25" t="s">
        <v>55</v>
      </c>
      <c r="E71" s="25">
        <v>120</v>
      </c>
      <c r="F71" s="25">
        <v>2</v>
      </c>
      <c r="G71" s="25">
        <v>1</v>
      </c>
      <c r="H71" s="25">
        <v>41.2</v>
      </c>
      <c r="I71" s="25">
        <f>ROUND(I70-H71,1)</f>
        <v>168.3</v>
      </c>
      <c r="J71" s="25">
        <f t="shared" si="10"/>
        <v>28.1</v>
      </c>
      <c r="K71" s="25">
        <v>42</v>
      </c>
      <c r="L71" s="25">
        <f>ROUND(L70-K71,1)</f>
        <v>168.2</v>
      </c>
      <c r="M71" s="25">
        <f t="shared" si="11"/>
        <v>28.7</v>
      </c>
      <c r="N71" s="25">
        <f t="shared" si="12"/>
        <v>28.4</v>
      </c>
      <c r="O71" s="25">
        <f t="shared" si="13"/>
        <v>0.4</v>
      </c>
      <c r="P71" s="25">
        <f t="shared" si="14"/>
        <v>2.4</v>
      </c>
      <c r="Q71" s="25">
        <f>ROUND(N71/N64*100,1)</f>
        <v>86.9</v>
      </c>
      <c r="R71" s="25">
        <f>ROUND(STDEV(J71/J64*100,M71/M64*100),1)</f>
        <v>2.6</v>
      </c>
    </row>
    <row r="72" spans="1:18" x14ac:dyDescent="0.2">
      <c r="A72" s="21" t="s">
        <v>1</v>
      </c>
      <c r="B72" s="21">
        <v>30</v>
      </c>
      <c r="C72" s="21">
        <v>0</v>
      </c>
      <c r="D72" s="21" t="s">
        <v>39</v>
      </c>
      <c r="E72" s="21">
        <v>300</v>
      </c>
      <c r="F72" s="21">
        <v>5</v>
      </c>
      <c r="G72" s="21">
        <v>1</v>
      </c>
      <c r="H72" s="21">
        <v>48.2</v>
      </c>
      <c r="I72" s="21"/>
      <c r="J72" s="21">
        <f t="shared" si="10"/>
        <v>32.9</v>
      </c>
      <c r="K72" s="21">
        <v>47.7</v>
      </c>
      <c r="L72" s="21"/>
      <c r="M72" s="21">
        <f t="shared" si="11"/>
        <v>32.6</v>
      </c>
      <c r="N72" s="21">
        <f t="shared" si="12"/>
        <v>32.799999999999997</v>
      </c>
      <c r="O72" s="21">
        <f t="shared" si="13"/>
        <v>0.2</v>
      </c>
      <c r="P72" s="21">
        <f t="shared" si="14"/>
        <v>1.1000000000000001</v>
      </c>
      <c r="Q72" s="21"/>
      <c r="R72" s="21"/>
    </row>
    <row r="73" spans="1:18" x14ac:dyDescent="0.2">
      <c r="A73" s="23" t="s">
        <v>1</v>
      </c>
      <c r="B73" s="23">
        <v>30</v>
      </c>
      <c r="C73" s="23">
        <v>0</v>
      </c>
      <c r="D73" s="23" t="s">
        <v>42</v>
      </c>
      <c r="E73" s="23">
        <v>60</v>
      </c>
      <c r="F73" s="23">
        <v>1</v>
      </c>
      <c r="G73" s="23">
        <v>1</v>
      </c>
      <c r="H73" s="23">
        <v>41.6</v>
      </c>
      <c r="I73" s="23">
        <f>ROUND($B$6-H73,1)</f>
        <v>208.4</v>
      </c>
      <c r="J73" s="23">
        <f t="shared" si="10"/>
        <v>28.4</v>
      </c>
      <c r="K73" s="23">
        <v>42.7</v>
      </c>
      <c r="L73" s="23">
        <f>ROUND($B$6-K73,1)</f>
        <v>207.3</v>
      </c>
      <c r="M73" s="23">
        <f t="shared" si="11"/>
        <v>29.2</v>
      </c>
      <c r="N73" s="23">
        <f t="shared" si="12"/>
        <v>28.8</v>
      </c>
      <c r="O73" s="23">
        <f t="shared" si="13"/>
        <v>0.6</v>
      </c>
      <c r="P73" s="23">
        <f t="shared" si="14"/>
        <v>1</v>
      </c>
      <c r="Q73" s="23"/>
      <c r="R73" s="23"/>
    </row>
    <row r="74" spans="1:18" x14ac:dyDescent="0.2">
      <c r="A74" s="23" t="s">
        <v>1</v>
      </c>
      <c r="B74" s="23">
        <v>30</v>
      </c>
      <c r="C74" s="23">
        <v>0</v>
      </c>
      <c r="D74" s="23" t="s">
        <v>42</v>
      </c>
      <c r="E74" s="23">
        <v>120</v>
      </c>
      <c r="F74" s="23">
        <v>2</v>
      </c>
      <c r="G74" s="23">
        <v>1</v>
      </c>
      <c r="H74" s="23">
        <v>38.799999999999997</v>
      </c>
      <c r="I74" s="23">
        <f>ROUND(I73-H74,1)</f>
        <v>169.6</v>
      </c>
      <c r="J74" s="23">
        <f t="shared" si="10"/>
        <v>26.5</v>
      </c>
      <c r="K74" s="23">
        <v>38.4</v>
      </c>
      <c r="L74" s="23">
        <f>ROUND(L73-K74,1)</f>
        <v>168.9</v>
      </c>
      <c r="M74" s="23">
        <f t="shared" si="11"/>
        <v>26.2</v>
      </c>
      <c r="N74" s="23">
        <f t="shared" si="12"/>
        <v>26.4</v>
      </c>
      <c r="O74" s="23">
        <f t="shared" si="13"/>
        <v>0.2</v>
      </c>
      <c r="P74" s="23">
        <f t="shared" si="14"/>
        <v>0.9</v>
      </c>
      <c r="Q74" s="23"/>
      <c r="R74" s="23"/>
    </row>
    <row r="75" spans="1:18" x14ac:dyDescent="0.2">
      <c r="A75" s="23" t="s">
        <v>1</v>
      </c>
      <c r="B75" s="23">
        <v>30</v>
      </c>
      <c r="C75" s="23">
        <v>0</v>
      </c>
      <c r="D75" s="23" t="s">
        <v>42</v>
      </c>
      <c r="E75" s="23">
        <v>180</v>
      </c>
      <c r="F75" s="23">
        <v>3</v>
      </c>
      <c r="G75" s="23">
        <v>1</v>
      </c>
      <c r="H75" s="23">
        <v>36.4</v>
      </c>
      <c r="I75" s="23">
        <f>ROUND(I74-H75,1)</f>
        <v>133.19999999999999</v>
      </c>
      <c r="J75" s="23">
        <f t="shared" si="10"/>
        <v>24.9</v>
      </c>
      <c r="K75" s="23">
        <v>37</v>
      </c>
      <c r="L75" s="23">
        <f>ROUND(L74-K75,1)</f>
        <v>131.9</v>
      </c>
      <c r="M75" s="23">
        <f t="shared" si="11"/>
        <v>25.3</v>
      </c>
      <c r="N75" s="23">
        <f t="shared" si="12"/>
        <v>25.1</v>
      </c>
      <c r="O75" s="23">
        <f t="shared" si="13"/>
        <v>0.3</v>
      </c>
      <c r="P75" s="23">
        <f t="shared" si="14"/>
        <v>0.8</v>
      </c>
      <c r="Q75" s="23"/>
      <c r="R75" s="23"/>
    </row>
    <row r="76" spans="1:18" x14ac:dyDescent="0.2">
      <c r="A76" s="23" t="s">
        <v>1</v>
      </c>
      <c r="B76" s="23">
        <v>30</v>
      </c>
      <c r="C76" s="23">
        <v>0</v>
      </c>
      <c r="D76" s="23" t="s">
        <v>42</v>
      </c>
      <c r="E76" s="23">
        <v>240</v>
      </c>
      <c r="F76" s="23">
        <v>4</v>
      </c>
      <c r="G76" s="23">
        <v>1</v>
      </c>
      <c r="H76" s="23">
        <v>33.200000000000003</v>
      </c>
      <c r="I76" s="23">
        <f>ROUND(I75-H76,1)</f>
        <v>100</v>
      </c>
      <c r="J76" s="23">
        <f t="shared" si="10"/>
        <v>22.7</v>
      </c>
      <c r="K76" s="23">
        <v>32.5</v>
      </c>
      <c r="L76" s="23">
        <f>ROUND(L75-K76,1)</f>
        <v>99.4</v>
      </c>
      <c r="M76" s="23">
        <f t="shared" si="11"/>
        <v>22.2</v>
      </c>
      <c r="N76" s="23">
        <f t="shared" si="12"/>
        <v>22.5</v>
      </c>
      <c r="O76" s="23">
        <f t="shared" si="13"/>
        <v>0.4</v>
      </c>
      <c r="P76" s="23">
        <f t="shared" si="14"/>
        <v>0.8</v>
      </c>
      <c r="Q76" s="23"/>
      <c r="R76" s="23"/>
    </row>
    <row r="77" spans="1:18" x14ac:dyDescent="0.2">
      <c r="A77" s="23" t="s">
        <v>1</v>
      </c>
      <c r="B77" s="23">
        <v>30</v>
      </c>
      <c r="C77" s="23">
        <v>0</v>
      </c>
      <c r="D77" s="23" t="s">
        <v>42</v>
      </c>
      <c r="E77" s="23">
        <v>300</v>
      </c>
      <c r="F77" s="23">
        <v>5</v>
      </c>
      <c r="G77" s="23">
        <v>1</v>
      </c>
      <c r="H77" s="23">
        <v>30.5</v>
      </c>
      <c r="I77" s="23">
        <f>ROUND(I76-H77,1)</f>
        <v>69.5</v>
      </c>
      <c r="J77" s="23">
        <f t="shared" si="10"/>
        <v>20.8</v>
      </c>
      <c r="K77" s="23">
        <v>31.4</v>
      </c>
      <c r="L77" s="23">
        <f>ROUND(L76-K77,1)</f>
        <v>68</v>
      </c>
      <c r="M77" s="23">
        <f t="shared" si="11"/>
        <v>21.4</v>
      </c>
      <c r="N77" s="23">
        <f t="shared" si="12"/>
        <v>21.1</v>
      </c>
      <c r="O77" s="23">
        <f t="shared" si="13"/>
        <v>0.4</v>
      </c>
      <c r="P77" s="23">
        <f t="shared" si="14"/>
        <v>0.7</v>
      </c>
      <c r="Q77" s="23"/>
      <c r="R77" s="23"/>
    </row>
    <row r="78" spans="1:18" x14ac:dyDescent="0.2">
      <c r="A78" s="25" t="s">
        <v>1</v>
      </c>
      <c r="B78" s="25">
        <v>30</v>
      </c>
      <c r="C78" s="25">
        <v>0</v>
      </c>
      <c r="D78" s="25" t="s">
        <v>55</v>
      </c>
      <c r="E78" s="25">
        <v>60</v>
      </c>
      <c r="F78" s="25">
        <v>1</v>
      </c>
      <c r="G78" s="25">
        <v>1</v>
      </c>
      <c r="H78" s="25">
        <v>42.1</v>
      </c>
      <c r="I78" s="25">
        <f>ROUND($B$6-H78,1)</f>
        <v>207.9</v>
      </c>
      <c r="J78" s="25">
        <f t="shared" si="10"/>
        <v>28.8</v>
      </c>
      <c r="K78" s="25">
        <v>41.2</v>
      </c>
      <c r="L78" s="25">
        <f>ROUND($B$6-K78,1)</f>
        <v>208.8</v>
      </c>
      <c r="M78" s="25">
        <f t="shared" si="11"/>
        <v>28.1</v>
      </c>
      <c r="N78" s="25">
        <f t="shared" si="12"/>
        <v>28.5</v>
      </c>
      <c r="O78" s="25">
        <f t="shared" si="13"/>
        <v>0.5</v>
      </c>
      <c r="P78" s="25">
        <f t="shared" si="14"/>
        <v>1</v>
      </c>
      <c r="Q78" s="25">
        <f>ROUND(N78/N72*100,1)</f>
        <v>86.9</v>
      </c>
      <c r="R78" s="25">
        <f>ROUND(STDEV(J78/J72*100,M78/M72*100),1)</f>
        <v>0.9</v>
      </c>
    </row>
    <row r="79" spans="1:18" x14ac:dyDescent="0.2">
      <c r="A79" s="25" t="s">
        <v>1</v>
      </c>
      <c r="B79" s="25">
        <v>30</v>
      </c>
      <c r="C79" s="25">
        <v>0</v>
      </c>
      <c r="D79" s="25" t="s">
        <v>55</v>
      </c>
      <c r="E79" s="25">
        <v>120</v>
      </c>
      <c r="F79" s="25">
        <v>2</v>
      </c>
      <c r="G79" s="25">
        <v>1</v>
      </c>
      <c r="H79" s="25">
        <v>42.9</v>
      </c>
      <c r="I79" s="25">
        <f>ROUND(I78-H79,1)</f>
        <v>165</v>
      </c>
      <c r="J79" s="25">
        <f t="shared" si="10"/>
        <v>29.3</v>
      </c>
      <c r="K79" s="25">
        <v>43.5</v>
      </c>
      <c r="L79" s="25">
        <f>ROUND(L78-K79,1)</f>
        <v>165.3</v>
      </c>
      <c r="M79" s="25">
        <f t="shared" si="11"/>
        <v>29.7</v>
      </c>
      <c r="N79" s="25">
        <f t="shared" si="12"/>
        <v>29.5</v>
      </c>
      <c r="O79" s="25">
        <f t="shared" si="13"/>
        <v>0.3</v>
      </c>
      <c r="P79" s="25">
        <f t="shared" si="14"/>
        <v>1</v>
      </c>
      <c r="Q79" s="25">
        <f>ROUND(N79/N72*100,1)</f>
        <v>89.9</v>
      </c>
      <c r="R79" s="25">
        <f>ROUND(STDEV(J79/J72*100,M79/M72*100),1)</f>
        <v>1.4</v>
      </c>
    </row>
    <row r="80" spans="1:18" x14ac:dyDescent="0.2">
      <c r="A80" s="21" t="s">
        <v>0</v>
      </c>
      <c r="B80" s="21">
        <v>30</v>
      </c>
      <c r="C80" s="21">
        <v>0</v>
      </c>
      <c r="D80" s="21" t="s">
        <v>39</v>
      </c>
      <c r="E80" s="21">
        <v>300</v>
      </c>
      <c r="F80" s="21">
        <v>5</v>
      </c>
      <c r="G80" s="21">
        <v>1</v>
      </c>
      <c r="H80" s="21">
        <v>48.5</v>
      </c>
      <c r="I80" s="21"/>
      <c r="J80" s="21">
        <f t="shared" si="10"/>
        <v>33.1</v>
      </c>
      <c r="K80" s="21">
        <v>47.8</v>
      </c>
      <c r="L80" s="21"/>
      <c r="M80" s="21">
        <f t="shared" si="11"/>
        <v>32.700000000000003</v>
      </c>
      <c r="N80" s="21">
        <f t="shared" si="12"/>
        <v>32.9</v>
      </c>
      <c r="O80" s="21">
        <f t="shared" si="13"/>
        <v>0.3</v>
      </c>
      <c r="P80" s="21">
        <f t="shared" si="14"/>
        <v>1.1000000000000001</v>
      </c>
      <c r="Q80" s="21"/>
      <c r="R80" s="21"/>
    </row>
    <row r="81" spans="1:18" x14ac:dyDescent="0.2">
      <c r="A81" s="23" t="s">
        <v>0</v>
      </c>
      <c r="B81" s="23">
        <v>30</v>
      </c>
      <c r="C81" s="23">
        <v>0</v>
      </c>
      <c r="D81" s="23" t="s">
        <v>42</v>
      </c>
      <c r="E81" s="23">
        <v>60</v>
      </c>
      <c r="F81" s="23">
        <v>1</v>
      </c>
      <c r="G81" s="23">
        <v>1</v>
      </c>
      <c r="H81" s="23">
        <v>43.4</v>
      </c>
      <c r="I81" s="23">
        <f>ROUND($B$6-H81,1)</f>
        <v>206.6</v>
      </c>
      <c r="J81" s="23">
        <f t="shared" si="10"/>
        <v>29.6</v>
      </c>
      <c r="K81" s="23">
        <v>43.9</v>
      </c>
      <c r="L81" s="23">
        <f>ROUND($B$6-K81,1)</f>
        <v>206.1</v>
      </c>
      <c r="M81" s="23">
        <f t="shared" si="11"/>
        <v>30</v>
      </c>
      <c r="N81" s="23">
        <f t="shared" si="12"/>
        <v>29.8</v>
      </c>
      <c r="O81" s="23">
        <f t="shared" si="13"/>
        <v>0.3</v>
      </c>
      <c r="P81" s="23">
        <f t="shared" si="14"/>
        <v>1</v>
      </c>
      <c r="Q81" s="23"/>
      <c r="R81" s="23"/>
    </row>
    <row r="82" spans="1:18" x14ac:dyDescent="0.2">
      <c r="A82" s="23" t="s">
        <v>0</v>
      </c>
      <c r="B82" s="23">
        <v>30</v>
      </c>
      <c r="C82" s="23">
        <v>0</v>
      </c>
      <c r="D82" s="23" t="s">
        <v>42</v>
      </c>
      <c r="E82" s="23">
        <v>120</v>
      </c>
      <c r="F82" s="23">
        <v>2</v>
      </c>
      <c r="G82" s="23">
        <v>1</v>
      </c>
      <c r="H82" s="23">
        <v>41.7</v>
      </c>
      <c r="I82" s="23">
        <f>ROUND(I81-H82,1)</f>
        <v>164.9</v>
      </c>
      <c r="J82" s="23">
        <f t="shared" si="10"/>
        <v>28.5</v>
      </c>
      <c r="K82" s="23">
        <v>40.700000000000003</v>
      </c>
      <c r="L82" s="23">
        <f>ROUND(L81-K82,1)</f>
        <v>165.4</v>
      </c>
      <c r="M82" s="23">
        <f t="shared" si="11"/>
        <v>27.8</v>
      </c>
      <c r="N82" s="23">
        <f t="shared" si="12"/>
        <v>28.2</v>
      </c>
      <c r="O82" s="23">
        <f t="shared" si="13"/>
        <v>0.5</v>
      </c>
      <c r="P82" s="23">
        <f t="shared" si="14"/>
        <v>0.9</v>
      </c>
      <c r="Q82" s="23"/>
      <c r="R82" s="23"/>
    </row>
    <row r="83" spans="1:18" x14ac:dyDescent="0.2">
      <c r="A83" s="23" t="s">
        <v>0</v>
      </c>
      <c r="B83" s="23">
        <v>30</v>
      </c>
      <c r="C83" s="23">
        <v>0</v>
      </c>
      <c r="D83" s="23" t="s">
        <v>42</v>
      </c>
      <c r="E83" s="23">
        <v>180</v>
      </c>
      <c r="F83" s="23">
        <v>3</v>
      </c>
      <c r="G83" s="23">
        <v>1</v>
      </c>
      <c r="H83" s="23">
        <v>37.6</v>
      </c>
      <c r="I83" s="23">
        <f>ROUND(I82-H83,1)</f>
        <v>127.3</v>
      </c>
      <c r="J83" s="23">
        <f t="shared" si="10"/>
        <v>25.7</v>
      </c>
      <c r="K83" s="23">
        <v>38</v>
      </c>
      <c r="L83" s="23">
        <f>ROUND(L82-K83,1)</f>
        <v>127.4</v>
      </c>
      <c r="M83" s="23">
        <f t="shared" si="11"/>
        <v>26</v>
      </c>
      <c r="N83" s="23">
        <f t="shared" si="12"/>
        <v>25.9</v>
      </c>
      <c r="O83" s="23">
        <f t="shared" si="13"/>
        <v>0.2</v>
      </c>
      <c r="P83" s="23">
        <f t="shared" si="14"/>
        <v>0.9</v>
      </c>
      <c r="Q83" s="23"/>
      <c r="R83" s="23"/>
    </row>
    <row r="84" spans="1:18" x14ac:dyDescent="0.2">
      <c r="A84" s="23" t="s">
        <v>0</v>
      </c>
      <c r="B84" s="23">
        <v>30</v>
      </c>
      <c r="C84" s="23">
        <v>0</v>
      </c>
      <c r="D84" s="23" t="s">
        <v>42</v>
      </c>
      <c r="E84" s="23">
        <v>240</v>
      </c>
      <c r="F84" s="23">
        <v>4</v>
      </c>
      <c r="G84" s="23">
        <v>1</v>
      </c>
      <c r="H84" s="23">
        <v>36.6</v>
      </c>
      <c r="I84" s="23">
        <f>ROUND(I83-H84,1)</f>
        <v>90.7</v>
      </c>
      <c r="J84" s="23">
        <f t="shared" si="10"/>
        <v>25</v>
      </c>
      <c r="K84" s="23">
        <v>36</v>
      </c>
      <c r="L84" s="23">
        <f>ROUND(L83-K84,1)</f>
        <v>91.4</v>
      </c>
      <c r="M84" s="23">
        <f t="shared" si="11"/>
        <v>24.6</v>
      </c>
      <c r="N84" s="23">
        <f t="shared" si="12"/>
        <v>24.8</v>
      </c>
      <c r="O84" s="23">
        <f t="shared" si="13"/>
        <v>0.3</v>
      </c>
      <c r="P84" s="23">
        <f t="shared" si="14"/>
        <v>0.8</v>
      </c>
      <c r="Q84" s="23"/>
      <c r="R84" s="23"/>
    </row>
    <row r="85" spans="1:18" x14ac:dyDescent="0.2">
      <c r="A85" s="23" t="s">
        <v>0</v>
      </c>
      <c r="B85" s="23">
        <v>30</v>
      </c>
      <c r="C85" s="23">
        <v>0</v>
      </c>
      <c r="D85" s="23" t="s">
        <v>42</v>
      </c>
      <c r="E85" s="23">
        <v>300</v>
      </c>
      <c r="F85" s="23">
        <v>5</v>
      </c>
      <c r="G85" s="23">
        <v>1</v>
      </c>
      <c r="H85" s="23">
        <v>34.6</v>
      </c>
      <c r="I85" s="23">
        <f>ROUND(I84-H85,1)</f>
        <v>56.1</v>
      </c>
      <c r="J85" s="23">
        <f t="shared" si="10"/>
        <v>23.6</v>
      </c>
      <c r="K85" s="23">
        <v>35.299999999999997</v>
      </c>
      <c r="L85" s="23">
        <f>ROUND(L84-K85,1)</f>
        <v>56.1</v>
      </c>
      <c r="M85" s="23">
        <f t="shared" si="11"/>
        <v>24.1</v>
      </c>
      <c r="N85" s="23">
        <f t="shared" si="12"/>
        <v>23.9</v>
      </c>
      <c r="O85" s="23">
        <f t="shared" si="13"/>
        <v>0.4</v>
      </c>
      <c r="P85" s="23">
        <f t="shared" si="14"/>
        <v>0.8</v>
      </c>
      <c r="Q85" s="23"/>
      <c r="R85" s="23"/>
    </row>
    <row r="86" spans="1:18" x14ac:dyDescent="0.2">
      <c r="A86" s="25" t="s">
        <v>0</v>
      </c>
      <c r="B86" s="25">
        <v>30</v>
      </c>
      <c r="C86" s="25">
        <v>0</v>
      </c>
      <c r="D86" s="25" t="s">
        <v>55</v>
      </c>
      <c r="E86" s="25">
        <v>60</v>
      </c>
      <c r="F86" s="25">
        <v>1</v>
      </c>
      <c r="G86" s="25">
        <v>1</v>
      </c>
      <c r="H86" s="25">
        <v>47.8</v>
      </c>
      <c r="I86" s="25">
        <f>ROUND($B$6-H86,1)</f>
        <v>202.2</v>
      </c>
      <c r="J86" s="25">
        <f t="shared" si="10"/>
        <v>32.700000000000003</v>
      </c>
      <c r="K86" s="25">
        <v>47</v>
      </c>
      <c r="L86" s="25">
        <f>ROUND($B$6-K86,1)</f>
        <v>203</v>
      </c>
      <c r="M86" s="25">
        <f t="shared" si="11"/>
        <v>32.1</v>
      </c>
      <c r="N86" s="25">
        <f t="shared" si="12"/>
        <v>32.4</v>
      </c>
      <c r="O86" s="25">
        <f t="shared" si="13"/>
        <v>0.4</v>
      </c>
      <c r="P86" s="25">
        <f t="shared" si="14"/>
        <v>1.1000000000000001</v>
      </c>
      <c r="Q86" s="25">
        <f>ROUND(N86/N80*100,1)</f>
        <v>98.5</v>
      </c>
      <c r="R86" s="25">
        <f>ROUND(STDEV(J86/J80*100,M86/M80*100),1)</f>
        <v>0.4</v>
      </c>
    </row>
    <row r="87" spans="1:18" x14ac:dyDescent="0.2">
      <c r="A87" s="25" t="s">
        <v>0</v>
      </c>
      <c r="B87" s="25">
        <v>30</v>
      </c>
      <c r="C87" s="25">
        <v>0</v>
      </c>
      <c r="D87" s="25" t="s">
        <v>55</v>
      </c>
      <c r="E87" s="25">
        <v>120</v>
      </c>
      <c r="F87" s="25">
        <v>2</v>
      </c>
      <c r="G87" s="25">
        <v>1</v>
      </c>
      <c r="H87" s="25">
        <v>47.7</v>
      </c>
      <c r="I87" s="25">
        <f>ROUND(I86-H87,1)</f>
        <v>154.5</v>
      </c>
      <c r="J87" s="25">
        <f t="shared" si="10"/>
        <v>32.6</v>
      </c>
      <c r="K87" s="25">
        <v>48.6</v>
      </c>
      <c r="L87" s="25">
        <f>ROUND(L86-K87,1)</f>
        <v>154.4</v>
      </c>
      <c r="M87" s="25">
        <f t="shared" si="11"/>
        <v>33.200000000000003</v>
      </c>
      <c r="N87" s="25">
        <f t="shared" si="12"/>
        <v>32.9</v>
      </c>
      <c r="O87" s="25">
        <f t="shared" si="13"/>
        <v>0.4</v>
      </c>
      <c r="P87" s="25">
        <f t="shared" si="14"/>
        <v>1.1000000000000001</v>
      </c>
      <c r="Q87" s="25">
        <f>ROUND(N87/N80*100,1)</f>
        <v>100</v>
      </c>
      <c r="R87" s="25">
        <f>ROUND(STDEV(J87/J80*100,M87/M80*100),1)</f>
        <v>2.1</v>
      </c>
    </row>
    <row r="88" spans="1:18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</row>
  </sheetData>
  <mergeCells count="3">
    <mergeCell ref="A62:R62"/>
    <mergeCell ref="A8:R8"/>
    <mergeCell ref="A35:R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4EC1-38DD-6047-95D7-CA57FFC4A1BE}">
  <dimension ref="A1:R89"/>
  <sheetViews>
    <sheetView topLeftCell="A2" workbookViewId="0">
      <selection activeCell="L28" sqref="L28"/>
    </sheetView>
  </sheetViews>
  <sheetFormatPr baseColWidth="10" defaultColWidth="8.83203125" defaultRowHeight="16" x14ac:dyDescent="0.2"/>
  <cols>
    <col min="1" max="1" width="14" style="17" customWidth="1"/>
    <col min="2" max="2" width="13" style="17" customWidth="1"/>
    <col min="3" max="3" width="12" style="17" customWidth="1"/>
    <col min="4" max="4" width="23" style="17" customWidth="1"/>
    <col min="5" max="5" width="11" style="17" customWidth="1"/>
    <col min="6" max="6" width="8" style="17" customWidth="1"/>
    <col min="7" max="7" width="9" style="17" customWidth="1"/>
    <col min="8" max="8" width="19" style="17" customWidth="1"/>
    <col min="9" max="9" width="20" style="17" customWidth="1"/>
    <col min="10" max="10" width="15" style="17" customWidth="1"/>
    <col min="11" max="11" width="19" style="17" customWidth="1"/>
    <col min="12" max="12" width="20" style="17" customWidth="1"/>
    <col min="13" max="13" width="15" style="17" customWidth="1"/>
    <col min="14" max="14" width="16" style="17" customWidth="1"/>
    <col min="15" max="15" width="13" style="17" customWidth="1"/>
    <col min="16" max="16" width="19" style="17" customWidth="1"/>
    <col min="17" max="17" width="14" style="17" customWidth="1"/>
    <col min="18" max="18" width="16" style="17" customWidth="1"/>
    <col min="19" max="16384" width="8.83203125" style="17"/>
  </cols>
  <sheetData>
    <row r="1" spans="1:18" x14ac:dyDescent="0.2">
      <c r="A1" s="32" t="s">
        <v>17</v>
      </c>
      <c r="B1" s="32" t="s">
        <v>18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2">
      <c r="A2" s="19" t="s">
        <v>21</v>
      </c>
      <c r="B2" s="18">
        <v>1.464E-3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x14ac:dyDescent="0.2">
      <c r="A3" s="19" t="s">
        <v>49</v>
      </c>
      <c r="B3" s="19">
        <v>12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x14ac:dyDescent="0.2">
      <c r="A4" s="19" t="s">
        <v>50</v>
      </c>
      <c r="B4" s="19">
        <v>30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x14ac:dyDescent="0.2">
      <c r="A5" s="19" t="s">
        <v>51</v>
      </c>
      <c r="B5" s="19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 t="s">
        <v>22</v>
      </c>
      <c r="B6" s="19">
        <v>250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x14ac:dyDescent="0.2">
      <c r="A8" s="34" t="s">
        <v>67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</row>
    <row r="9" spans="1:18" ht="34" x14ac:dyDescent="0.2">
      <c r="A9" s="33" t="s">
        <v>19</v>
      </c>
      <c r="B9" s="33" t="s">
        <v>26</v>
      </c>
      <c r="C9" s="33" t="s">
        <v>53</v>
      </c>
      <c r="D9" s="33" t="s">
        <v>27</v>
      </c>
      <c r="E9" s="33" t="s">
        <v>28</v>
      </c>
      <c r="F9" s="33" t="s">
        <v>4</v>
      </c>
      <c r="G9" s="33" t="s">
        <v>29</v>
      </c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 t="s">
        <v>35</v>
      </c>
      <c r="N9" s="33" t="s">
        <v>36</v>
      </c>
      <c r="O9" s="33" t="s">
        <v>37</v>
      </c>
      <c r="P9" s="33" t="s">
        <v>38</v>
      </c>
      <c r="Q9" s="33" t="s">
        <v>54</v>
      </c>
      <c r="R9" s="33" t="s">
        <v>44</v>
      </c>
    </row>
    <row r="10" spans="1:18" x14ac:dyDescent="0.2">
      <c r="A10" s="21" t="s">
        <v>5</v>
      </c>
      <c r="B10" s="21">
        <v>12</v>
      </c>
      <c r="C10" s="21">
        <v>1</v>
      </c>
      <c r="D10" s="21" t="s">
        <v>39</v>
      </c>
      <c r="E10" s="21">
        <v>300</v>
      </c>
      <c r="F10" s="21">
        <v>5</v>
      </c>
      <c r="G10" s="21">
        <v>1</v>
      </c>
      <c r="H10" s="21">
        <v>47.2</v>
      </c>
      <c r="I10" s="21"/>
      <c r="J10" s="21">
        <f t="shared" ref="J10:J33" si="0">ROUND(H10/1000/$B$2/G10,1)</f>
        <v>32.200000000000003</v>
      </c>
      <c r="K10" s="21">
        <v>48.1</v>
      </c>
      <c r="L10" s="21"/>
      <c r="M10" s="21">
        <f t="shared" ref="M10:M33" si="1">ROUND(K10/1000/$B$2/G10,1)</f>
        <v>32.9</v>
      </c>
      <c r="N10" s="21">
        <f t="shared" ref="N10:N33" si="2">ROUND(AVERAGE(J10,M10),1)</f>
        <v>32.6</v>
      </c>
      <c r="O10" s="21">
        <f t="shared" ref="O10:O33" si="3">ROUND(STDEV(J10,M10),1)</f>
        <v>0.5</v>
      </c>
      <c r="P10" s="21">
        <f t="shared" ref="P10:P33" si="4">ROUND(N10/B10,1)</f>
        <v>2.7</v>
      </c>
      <c r="Q10" s="21"/>
      <c r="R10" s="21"/>
    </row>
    <row r="11" spans="1:18" x14ac:dyDescent="0.2">
      <c r="A11" s="23" t="s">
        <v>5</v>
      </c>
      <c r="B11" s="23">
        <v>12</v>
      </c>
      <c r="C11" s="23">
        <v>1</v>
      </c>
      <c r="D11" s="23" t="s">
        <v>42</v>
      </c>
      <c r="E11" s="23">
        <v>60</v>
      </c>
      <c r="F11" s="23">
        <v>1</v>
      </c>
      <c r="G11" s="23">
        <v>1</v>
      </c>
      <c r="H11" s="23">
        <v>42.5</v>
      </c>
      <c r="I11" s="23">
        <f>ROUND($B$6-H11,1)</f>
        <v>207.5</v>
      </c>
      <c r="J11" s="23">
        <f t="shared" si="0"/>
        <v>29</v>
      </c>
      <c r="K11" s="23">
        <v>41.9</v>
      </c>
      <c r="L11" s="23">
        <f>ROUND($B$6-K11,1)</f>
        <v>208.1</v>
      </c>
      <c r="M11" s="23">
        <f t="shared" si="1"/>
        <v>28.6</v>
      </c>
      <c r="N11" s="23">
        <f t="shared" si="2"/>
        <v>28.8</v>
      </c>
      <c r="O11" s="23">
        <f t="shared" si="3"/>
        <v>0.3</v>
      </c>
      <c r="P11" s="23">
        <f t="shared" si="4"/>
        <v>2.4</v>
      </c>
      <c r="Q11" s="23"/>
      <c r="R11" s="23"/>
    </row>
    <row r="12" spans="1:18" x14ac:dyDescent="0.2">
      <c r="A12" s="23" t="s">
        <v>5</v>
      </c>
      <c r="B12" s="23">
        <v>12</v>
      </c>
      <c r="C12" s="23">
        <v>1</v>
      </c>
      <c r="D12" s="23" t="s">
        <v>42</v>
      </c>
      <c r="E12" s="23">
        <v>120</v>
      </c>
      <c r="F12" s="23">
        <v>2</v>
      </c>
      <c r="G12" s="23">
        <v>1</v>
      </c>
      <c r="H12" s="23">
        <v>32.799999999999997</v>
      </c>
      <c r="I12" s="23">
        <f>ROUND(I11-H12,1)</f>
        <v>174.7</v>
      </c>
      <c r="J12" s="23">
        <f t="shared" si="0"/>
        <v>22.4</v>
      </c>
      <c r="K12" s="23">
        <v>33.5</v>
      </c>
      <c r="L12" s="23">
        <f>ROUND(L11-K12,1)</f>
        <v>174.6</v>
      </c>
      <c r="M12" s="23">
        <f t="shared" si="1"/>
        <v>22.9</v>
      </c>
      <c r="N12" s="23">
        <f t="shared" si="2"/>
        <v>22.7</v>
      </c>
      <c r="O12" s="23">
        <f t="shared" si="3"/>
        <v>0.4</v>
      </c>
      <c r="P12" s="23">
        <f t="shared" si="4"/>
        <v>1.9</v>
      </c>
      <c r="Q12" s="23"/>
      <c r="R12" s="23"/>
    </row>
    <row r="13" spans="1:18" x14ac:dyDescent="0.2">
      <c r="A13" s="23" t="s">
        <v>5</v>
      </c>
      <c r="B13" s="23">
        <v>12</v>
      </c>
      <c r="C13" s="23">
        <v>1</v>
      </c>
      <c r="D13" s="23" t="s">
        <v>42</v>
      </c>
      <c r="E13" s="23">
        <v>180</v>
      </c>
      <c r="F13" s="23">
        <v>3</v>
      </c>
      <c r="G13" s="23">
        <v>1</v>
      </c>
      <c r="H13" s="23">
        <v>28.8</v>
      </c>
      <c r="I13" s="23">
        <f>ROUND(I12-H13,1)</f>
        <v>145.9</v>
      </c>
      <c r="J13" s="23">
        <f t="shared" si="0"/>
        <v>19.7</v>
      </c>
      <c r="K13" s="23">
        <v>28.3</v>
      </c>
      <c r="L13" s="23">
        <f>ROUND(L12-K13,1)</f>
        <v>146.30000000000001</v>
      </c>
      <c r="M13" s="23">
        <f t="shared" si="1"/>
        <v>19.3</v>
      </c>
      <c r="N13" s="23">
        <f t="shared" si="2"/>
        <v>19.5</v>
      </c>
      <c r="O13" s="23">
        <f t="shared" si="3"/>
        <v>0.3</v>
      </c>
      <c r="P13" s="23">
        <f t="shared" si="4"/>
        <v>1.6</v>
      </c>
      <c r="Q13" s="23"/>
      <c r="R13" s="23"/>
    </row>
    <row r="14" spans="1:18" x14ac:dyDescent="0.2">
      <c r="A14" s="23" t="s">
        <v>5</v>
      </c>
      <c r="B14" s="23">
        <v>12</v>
      </c>
      <c r="C14" s="23">
        <v>1</v>
      </c>
      <c r="D14" s="23" t="s">
        <v>42</v>
      </c>
      <c r="E14" s="23">
        <v>240</v>
      </c>
      <c r="F14" s="23">
        <v>4</v>
      </c>
      <c r="G14" s="23">
        <v>1</v>
      </c>
      <c r="H14" s="23">
        <v>17.899999999999999</v>
      </c>
      <c r="I14" s="23">
        <f>ROUND(I13-H14,1)</f>
        <v>128</v>
      </c>
      <c r="J14" s="23">
        <f t="shared" si="0"/>
        <v>12.2</v>
      </c>
      <c r="K14" s="23">
        <v>18.899999999999999</v>
      </c>
      <c r="L14" s="23">
        <f>ROUND(L13-K14,1)</f>
        <v>127.4</v>
      </c>
      <c r="M14" s="23">
        <f t="shared" si="1"/>
        <v>12.9</v>
      </c>
      <c r="N14" s="23">
        <f t="shared" si="2"/>
        <v>12.6</v>
      </c>
      <c r="O14" s="23">
        <f t="shared" si="3"/>
        <v>0.5</v>
      </c>
      <c r="P14" s="23">
        <f t="shared" si="4"/>
        <v>1.1000000000000001</v>
      </c>
      <c r="Q14" s="23"/>
      <c r="R14" s="23"/>
    </row>
    <row r="15" spans="1:18" x14ac:dyDescent="0.2">
      <c r="A15" s="23" t="s">
        <v>5</v>
      </c>
      <c r="B15" s="23">
        <v>12</v>
      </c>
      <c r="C15" s="23">
        <v>1</v>
      </c>
      <c r="D15" s="23" t="s">
        <v>42</v>
      </c>
      <c r="E15" s="23">
        <v>300</v>
      </c>
      <c r="F15" s="23">
        <v>5</v>
      </c>
      <c r="G15" s="23">
        <v>1</v>
      </c>
      <c r="H15" s="23">
        <v>15.1</v>
      </c>
      <c r="I15" s="23">
        <f>ROUND(I14-H15,1)</f>
        <v>112.9</v>
      </c>
      <c r="J15" s="23">
        <f t="shared" si="0"/>
        <v>10.3</v>
      </c>
      <c r="K15" s="23">
        <v>14.6</v>
      </c>
      <c r="L15" s="23">
        <f>ROUND(L14-K15,1)</f>
        <v>112.8</v>
      </c>
      <c r="M15" s="23">
        <f t="shared" si="1"/>
        <v>10</v>
      </c>
      <c r="N15" s="23">
        <f t="shared" si="2"/>
        <v>10.199999999999999</v>
      </c>
      <c r="O15" s="23">
        <f t="shared" si="3"/>
        <v>0.2</v>
      </c>
      <c r="P15" s="23">
        <f t="shared" si="4"/>
        <v>0.9</v>
      </c>
      <c r="Q15" s="23"/>
      <c r="R15" s="23"/>
    </row>
    <row r="16" spans="1:18" x14ac:dyDescent="0.2">
      <c r="A16" s="25" t="s">
        <v>5</v>
      </c>
      <c r="B16" s="25">
        <v>12</v>
      </c>
      <c r="C16" s="25">
        <v>1</v>
      </c>
      <c r="D16" s="25" t="s">
        <v>55</v>
      </c>
      <c r="E16" s="25">
        <v>60</v>
      </c>
      <c r="F16" s="25">
        <v>1</v>
      </c>
      <c r="G16" s="25">
        <v>1</v>
      </c>
      <c r="H16" s="25">
        <v>16.3</v>
      </c>
      <c r="I16" s="25">
        <f>ROUND($B$6-H16,1)</f>
        <v>233.7</v>
      </c>
      <c r="J16" s="25">
        <f t="shared" si="0"/>
        <v>11.1</v>
      </c>
      <c r="K16" s="25">
        <v>16.8</v>
      </c>
      <c r="L16" s="25">
        <f>ROUND($B$6-K16,1)</f>
        <v>233.2</v>
      </c>
      <c r="M16" s="25">
        <f t="shared" si="1"/>
        <v>11.5</v>
      </c>
      <c r="N16" s="25">
        <f t="shared" si="2"/>
        <v>11.3</v>
      </c>
      <c r="O16" s="25">
        <f t="shared" si="3"/>
        <v>0.3</v>
      </c>
      <c r="P16" s="25">
        <f t="shared" si="4"/>
        <v>0.9</v>
      </c>
      <c r="Q16" s="25">
        <f>ROUND(N16/N10*100,1)</f>
        <v>34.700000000000003</v>
      </c>
      <c r="R16" s="25">
        <f>ROUND(STDEV(J16/J10*100,M16/M10*100),1)</f>
        <v>0.3</v>
      </c>
    </row>
    <row r="17" spans="1:18" x14ac:dyDescent="0.2">
      <c r="A17" s="25" t="s">
        <v>5</v>
      </c>
      <c r="B17" s="25">
        <v>12</v>
      </c>
      <c r="C17" s="25">
        <v>1</v>
      </c>
      <c r="D17" s="25" t="s">
        <v>55</v>
      </c>
      <c r="E17" s="25">
        <v>120</v>
      </c>
      <c r="F17" s="25">
        <v>2</v>
      </c>
      <c r="G17" s="25">
        <v>1</v>
      </c>
      <c r="H17" s="25">
        <v>17.5</v>
      </c>
      <c r="I17" s="25">
        <f>ROUND(I16-H17,1)</f>
        <v>216.2</v>
      </c>
      <c r="J17" s="25">
        <f t="shared" si="0"/>
        <v>12</v>
      </c>
      <c r="K17" s="25">
        <v>16.8</v>
      </c>
      <c r="L17" s="25">
        <f>ROUND(L16-K17,1)</f>
        <v>216.4</v>
      </c>
      <c r="M17" s="25">
        <f t="shared" si="1"/>
        <v>11.5</v>
      </c>
      <c r="N17" s="25">
        <f t="shared" si="2"/>
        <v>11.8</v>
      </c>
      <c r="O17" s="25">
        <f t="shared" si="3"/>
        <v>0.4</v>
      </c>
      <c r="P17" s="25">
        <f t="shared" si="4"/>
        <v>1</v>
      </c>
      <c r="Q17" s="25">
        <f>ROUND(N17/N10*100,1)</f>
        <v>36.200000000000003</v>
      </c>
      <c r="R17" s="25">
        <f>ROUND(STDEV(J17/J10*100,M17/M10*100),1)</f>
        <v>1.6</v>
      </c>
    </row>
    <row r="18" spans="1:18" x14ac:dyDescent="0.2">
      <c r="A18" s="21" t="s">
        <v>1</v>
      </c>
      <c r="B18" s="21">
        <v>30</v>
      </c>
      <c r="C18" s="21">
        <v>1</v>
      </c>
      <c r="D18" s="21" t="s">
        <v>39</v>
      </c>
      <c r="E18" s="21">
        <v>300</v>
      </c>
      <c r="F18" s="21">
        <v>5</v>
      </c>
      <c r="G18" s="21">
        <v>1</v>
      </c>
      <c r="H18" s="21">
        <v>47.4</v>
      </c>
      <c r="I18" s="21"/>
      <c r="J18" s="21">
        <f t="shared" si="0"/>
        <v>32.4</v>
      </c>
      <c r="K18" s="21">
        <v>48.2</v>
      </c>
      <c r="L18" s="21"/>
      <c r="M18" s="21">
        <f t="shared" si="1"/>
        <v>32.9</v>
      </c>
      <c r="N18" s="21">
        <f t="shared" si="2"/>
        <v>32.700000000000003</v>
      </c>
      <c r="O18" s="21">
        <f t="shared" si="3"/>
        <v>0.4</v>
      </c>
      <c r="P18" s="21">
        <f t="shared" si="4"/>
        <v>1.1000000000000001</v>
      </c>
      <c r="Q18" s="21"/>
      <c r="R18" s="21"/>
    </row>
    <row r="19" spans="1:18" x14ac:dyDescent="0.2">
      <c r="A19" s="23" t="s">
        <v>1</v>
      </c>
      <c r="B19" s="23">
        <v>30</v>
      </c>
      <c r="C19" s="23">
        <v>1</v>
      </c>
      <c r="D19" s="23" t="s">
        <v>42</v>
      </c>
      <c r="E19" s="23">
        <v>60</v>
      </c>
      <c r="F19" s="23">
        <v>1</v>
      </c>
      <c r="G19" s="23">
        <v>1</v>
      </c>
      <c r="H19" s="23">
        <v>42.6</v>
      </c>
      <c r="I19" s="23">
        <f>ROUND($B$6-H19,1)</f>
        <v>207.4</v>
      </c>
      <c r="J19" s="23">
        <f t="shared" si="0"/>
        <v>29.1</v>
      </c>
      <c r="K19" s="23">
        <v>41.7</v>
      </c>
      <c r="L19" s="23">
        <f>ROUND($B$6-K19,1)</f>
        <v>208.3</v>
      </c>
      <c r="M19" s="23">
        <f t="shared" si="1"/>
        <v>28.5</v>
      </c>
      <c r="N19" s="23">
        <f t="shared" si="2"/>
        <v>28.8</v>
      </c>
      <c r="O19" s="23">
        <f t="shared" si="3"/>
        <v>0.4</v>
      </c>
      <c r="P19" s="23">
        <f t="shared" si="4"/>
        <v>1</v>
      </c>
      <c r="Q19" s="23"/>
      <c r="R19" s="23"/>
    </row>
    <row r="20" spans="1:18" x14ac:dyDescent="0.2">
      <c r="A20" s="23" t="s">
        <v>1</v>
      </c>
      <c r="B20" s="23">
        <v>30</v>
      </c>
      <c r="C20" s="23">
        <v>1</v>
      </c>
      <c r="D20" s="23" t="s">
        <v>42</v>
      </c>
      <c r="E20" s="23">
        <v>120</v>
      </c>
      <c r="F20" s="23">
        <v>2</v>
      </c>
      <c r="G20" s="23">
        <v>1</v>
      </c>
      <c r="H20" s="23">
        <v>36.4</v>
      </c>
      <c r="I20" s="23">
        <f>ROUND(I19-H20,1)</f>
        <v>171</v>
      </c>
      <c r="J20" s="23">
        <f t="shared" si="0"/>
        <v>24.9</v>
      </c>
      <c r="K20" s="23">
        <v>37</v>
      </c>
      <c r="L20" s="23">
        <f>ROUND(L19-K20,1)</f>
        <v>171.3</v>
      </c>
      <c r="M20" s="23">
        <f t="shared" si="1"/>
        <v>25.3</v>
      </c>
      <c r="N20" s="23">
        <f t="shared" si="2"/>
        <v>25.1</v>
      </c>
      <c r="O20" s="23">
        <f t="shared" si="3"/>
        <v>0.3</v>
      </c>
      <c r="P20" s="23">
        <f t="shared" si="4"/>
        <v>0.8</v>
      </c>
      <c r="Q20" s="23"/>
      <c r="R20" s="23"/>
    </row>
    <row r="21" spans="1:18" x14ac:dyDescent="0.2">
      <c r="A21" s="23" t="s">
        <v>1</v>
      </c>
      <c r="B21" s="23">
        <v>30</v>
      </c>
      <c r="C21" s="23">
        <v>1</v>
      </c>
      <c r="D21" s="23" t="s">
        <v>42</v>
      </c>
      <c r="E21" s="23">
        <v>180</v>
      </c>
      <c r="F21" s="23">
        <v>3</v>
      </c>
      <c r="G21" s="23">
        <v>1</v>
      </c>
      <c r="H21" s="23">
        <v>34.200000000000003</v>
      </c>
      <c r="I21" s="23">
        <f>ROUND(I20-H21,1)</f>
        <v>136.80000000000001</v>
      </c>
      <c r="J21" s="23">
        <f t="shared" si="0"/>
        <v>23.4</v>
      </c>
      <c r="K21" s="23">
        <v>33.5</v>
      </c>
      <c r="L21" s="23">
        <f>ROUND(L20-K21,1)</f>
        <v>137.80000000000001</v>
      </c>
      <c r="M21" s="23">
        <f t="shared" si="1"/>
        <v>22.9</v>
      </c>
      <c r="N21" s="23">
        <f t="shared" si="2"/>
        <v>23.2</v>
      </c>
      <c r="O21" s="23">
        <f t="shared" si="3"/>
        <v>0.4</v>
      </c>
      <c r="P21" s="23">
        <f t="shared" si="4"/>
        <v>0.8</v>
      </c>
      <c r="Q21" s="23"/>
      <c r="R21" s="23"/>
    </row>
    <row r="22" spans="1:18" x14ac:dyDescent="0.2">
      <c r="A22" s="23" t="s">
        <v>1</v>
      </c>
      <c r="B22" s="23">
        <v>30</v>
      </c>
      <c r="C22" s="23">
        <v>1</v>
      </c>
      <c r="D22" s="23" t="s">
        <v>42</v>
      </c>
      <c r="E22" s="23">
        <v>240</v>
      </c>
      <c r="F22" s="23">
        <v>4</v>
      </c>
      <c r="G22" s="23">
        <v>1</v>
      </c>
      <c r="H22" s="23">
        <v>27.8</v>
      </c>
      <c r="I22" s="23">
        <f>ROUND(I21-H22,1)</f>
        <v>109</v>
      </c>
      <c r="J22" s="23">
        <f t="shared" si="0"/>
        <v>19</v>
      </c>
      <c r="K22" s="23">
        <v>28.3</v>
      </c>
      <c r="L22" s="23">
        <f>ROUND(L21-K22,1)</f>
        <v>109.5</v>
      </c>
      <c r="M22" s="23">
        <f t="shared" si="1"/>
        <v>19.3</v>
      </c>
      <c r="N22" s="23">
        <f t="shared" si="2"/>
        <v>19.2</v>
      </c>
      <c r="O22" s="23">
        <f t="shared" si="3"/>
        <v>0.2</v>
      </c>
      <c r="P22" s="23">
        <f t="shared" si="4"/>
        <v>0.6</v>
      </c>
      <c r="Q22" s="23"/>
      <c r="R22" s="23"/>
    </row>
    <row r="23" spans="1:18" x14ac:dyDescent="0.2">
      <c r="A23" s="23" t="s">
        <v>1</v>
      </c>
      <c r="B23" s="23">
        <v>30</v>
      </c>
      <c r="C23" s="23">
        <v>1</v>
      </c>
      <c r="D23" s="23" t="s">
        <v>42</v>
      </c>
      <c r="E23" s="23">
        <v>300</v>
      </c>
      <c r="F23" s="23">
        <v>5</v>
      </c>
      <c r="G23" s="23">
        <v>1</v>
      </c>
      <c r="H23" s="23">
        <v>25.7</v>
      </c>
      <c r="I23" s="23">
        <f>ROUND(I22-H23,1)</f>
        <v>83.3</v>
      </c>
      <c r="J23" s="23">
        <f t="shared" si="0"/>
        <v>17.600000000000001</v>
      </c>
      <c r="K23" s="23">
        <v>24.7</v>
      </c>
      <c r="L23" s="23">
        <f>ROUND(L22-K23,1)</f>
        <v>84.8</v>
      </c>
      <c r="M23" s="23">
        <f t="shared" si="1"/>
        <v>16.899999999999999</v>
      </c>
      <c r="N23" s="23">
        <f t="shared" si="2"/>
        <v>17.3</v>
      </c>
      <c r="O23" s="23">
        <f t="shared" si="3"/>
        <v>0.5</v>
      </c>
      <c r="P23" s="23">
        <f t="shared" si="4"/>
        <v>0.6</v>
      </c>
      <c r="Q23" s="23"/>
      <c r="R23" s="23"/>
    </row>
    <row r="24" spans="1:18" x14ac:dyDescent="0.2">
      <c r="A24" s="25" t="s">
        <v>1</v>
      </c>
      <c r="B24" s="25">
        <v>30</v>
      </c>
      <c r="C24" s="25">
        <v>1</v>
      </c>
      <c r="D24" s="25" t="s">
        <v>55</v>
      </c>
      <c r="E24" s="25">
        <v>60</v>
      </c>
      <c r="F24" s="25">
        <v>1</v>
      </c>
      <c r="G24" s="25">
        <v>1</v>
      </c>
      <c r="H24" s="25">
        <v>33.5</v>
      </c>
      <c r="I24" s="25">
        <f>ROUND($B$6-H24,1)</f>
        <v>216.5</v>
      </c>
      <c r="J24" s="25">
        <f t="shared" si="0"/>
        <v>22.9</v>
      </c>
      <c r="K24" s="25">
        <v>33.9</v>
      </c>
      <c r="L24" s="25">
        <f>ROUND($B$6-K24,1)</f>
        <v>216.1</v>
      </c>
      <c r="M24" s="25">
        <f t="shared" si="1"/>
        <v>23.2</v>
      </c>
      <c r="N24" s="25">
        <f t="shared" si="2"/>
        <v>23.1</v>
      </c>
      <c r="O24" s="25">
        <f t="shared" si="3"/>
        <v>0.2</v>
      </c>
      <c r="P24" s="25">
        <f t="shared" si="4"/>
        <v>0.8</v>
      </c>
      <c r="Q24" s="25">
        <f>ROUND(N24/N18*100,1)</f>
        <v>70.599999999999994</v>
      </c>
      <c r="R24" s="25">
        <f>ROUND(STDEV(J24/J18*100,M24/M18*100),1)</f>
        <v>0.1</v>
      </c>
    </row>
    <row r="25" spans="1:18" x14ac:dyDescent="0.2">
      <c r="A25" s="25" t="s">
        <v>1</v>
      </c>
      <c r="B25" s="25">
        <v>30</v>
      </c>
      <c r="C25" s="25">
        <v>1</v>
      </c>
      <c r="D25" s="25" t="s">
        <v>55</v>
      </c>
      <c r="E25" s="25">
        <v>120</v>
      </c>
      <c r="F25" s="25">
        <v>2</v>
      </c>
      <c r="G25" s="25">
        <v>1</v>
      </c>
      <c r="H25" s="25">
        <v>35.200000000000003</v>
      </c>
      <c r="I25" s="25">
        <f>ROUND(I24-H25,1)</f>
        <v>181.3</v>
      </c>
      <c r="J25" s="25">
        <f t="shared" si="0"/>
        <v>24</v>
      </c>
      <c r="K25" s="25">
        <v>34.6</v>
      </c>
      <c r="L25" s="25">
        <f>ROUND(L24-K25,1)</f>
        <v>181.5</v>
      </c>
      <c r="M25" s="25">
        <f t="shared" si="1"/>
        <v>23.6</v>
      </c>
      <c r="N25" s="25">
        <f t="shared" si="2"/>
        <v>23.8</v>
      </c>
      <c r="O25" s="25">
        <f t="shared" si="3"/>
        <v>0.3</v>
      </c>
      <c r="P25" s="25">
        <f t="shared" si="4"/>
        <v>0.8</v>
      </c>
      <c r="Q25" s="25">
        <f>ROUND(N25/N18*100,1)</f>
        <v>72.8</v>
      </c>
      <c r="R25" s="25">
        <f>ROUND(STDEV(J25/J18*100,M25/M18*100),1)</f>
        <v>1.7</v>
      </c>
    </row>
    <row r="26" spans="1:18" x14ac:dyDescent="0.2">
      <c r="A26" s="21" t="s">
        <v>0</v>
      </c>
      <c r="B26" s="21">
        <v>30</v>
      </c>
      <c r="C26" s="21">
        <v>1</v>
      </c>
      <c r="D26" s="21" t="s">
        <v>39</v>
      </c>
      <c r="E26" s="21">
        <v>300</v>
      </c>
      <c r="F26" s="21">
        <v>5</v>
      </c>
      <c r="G26" s="21">
        <v>1</v>
      </c>
      <c r="H26" s="21">
        <v>47.6</v>
      </c>
      <c r="I26" s="21"/>
      <c r="J26" s="21">
        <f t="shared" si="0"/>
        <v>32.5</v>
      </c>
      <c r="K26" s="21">
        <v>48.3</v>
      </c>
      <c r="L26" s="21"/>
      <c r="M26" s="21">
        <f t="shared" si="1"/>
        <v>33</v>
      </c>
      <c r="N26" s="21">
        <f t="shared" si="2"/>
        <v>32.799999999999997</v>
      </c>
      <c r="O26" s="21">
        <f t="shared" si="3"/>
        <v>0.4</v>
      </c>
      <c r="P26" s="21">
        <f t="shared" si="4"/>
        <v>1.1000000000000001</v>
      </c>
      <c r="Q26" s="21"/>
      <c r="R26" s="21"/>
    </row>
    <row r="27" spans="1:18" x14ac:dyDescent="0.2">
      <c r="A27" s="23" t="s">
        <v>0</v>
      </c>
      <c r="B27" s="23">
        <v>30</v>
      </c>
      <c r="C27" s="23">
        <v>1</v>
      </c>
      <c r="D27" s="23" t="s">
        <v>42</v>
      </c>
      <c r="E27" s="23">
        <v>60</v>
      </c>
      <c r="F27" s="23">
        <v>1</v>
      </c>
      <c r="G27" s="23">
        <v>1</v>
      </c>
      <c r="H27" s="23">
        <v>44</v>
      </c>
      <c r="I27" s="23">
        <f>ROUND($B$6-H27,1)</f>
        <v>206</v>
      </c>
      <c r="J27" s="23">
        <f t="shared" si="0"/>
        <v>30.1</v>
      </c>
      <c r="K27" s="23">
        <v>43.2</v>
      </c>
      <c r="L27" s="23">
        <f>ROUND($B$6-K27,1)</f>
        <v>206.8</v>
      </c>
      <c r="M27" s="23">
        <f t="shared" si="1"/>
        <v>29.5</v>
      </c>
      <c r="N27" s="23">
        <f t="shared" si="2"/>
        <v>29.8</v>
      </c>
      <c r="O27" s="23">
        <f t="shared" si="3"/>
        <v>0.4</v>
      </c>
      <c r="P27" s="23">
        <f t="shared" si="4"/>
        <v>1</v>
      </c>
      <c r="Q27" s="23"/>
      <c r="R27" s="23"/>
    </row>
    <row r="28" spans="1:18" x14ac:dyDescent="0.2">
      <c r="A28" s="23" t="s">
        <v>0</v>
      </c>
      <c r="B28" s="23">
        <v>30</v>
      </c>
      <c r="C28" s="23">
        <v>1</v>
      </c>
      <c r="D28" s="23" t="s">
        <v>42</v>
      </c>
      <c r="E28" s="23">
        <v>120</v>
      </c>
      <c r="F28" s="23">
        <v>2</v>
      </c>
      <c r="G28" s="23">
        <v>1</v>
      </c>
      <c r="H28" s="23">
        <v>39.200000000000003</v>
      </c>
      <c r="I28" s="23">
        <f>ROUND(I27-H28,1)</f>
        <v>166.8</v>
      </c>
      <c r="J28" s="23">
        <f t="shared" si="0"/>
        <v>26.8</v>
      </c>
      <c r="K28" s="23">
        <v>40.200000000000003</v>
      </c>
      <c r="L28" s="23">
        <f>ROUND(L27-K28,1)</f>
        <v>166.6</v>
      </c>
      <c r="M28" s="23">
        <f t="shared" si="1"/>
        <v>27.5</v>
      </c>
      <c r="N28" s="23">
        <f t="shared" si="2"/>
        <v>27.2</v>
      </c>
      <c r="O28" s="23">
        <f t="shared" si="3"/>
        <v>0.5</v>
      </c>
      <c r="P28" s="23">
        <f t="shared" si="4"/>
        <v>0.9</v>
      </c>
      <c r="Q28" s="23"/>
      <c r="R28" s="23"/>
    </row>
    <row r="29" spans="1:18" x14ac:dyDescent="0.2">
      <c r="A29" s="23" t="s">
        <v>0</v>
      </c>
      <c r="B29" s="23">
        <v>30</v>
      </c>
      <c r="C29" s="23">
        <v>1</v>
      </c>
      <c r="D29" s="23" t="s">
        <v>42</v>
      </c>
      <c r="E29" s="23">
        <v>180</v>
      </c>
      <c r="F29" s="23">
        <v>3</v>
      </c>
      <c r="G29" s="23">
        <v>1</v>
      </c>
      <c r="H29" s="23">
        <v>34.5</v>
      </c>
      <c r="I29" s="23">
        <f>ROUND(I28-H29,1)</f>
        <v>132.30000000000001</v>
      </c>
      <c r="J29" s="23">
        <f t="shared" si="0"/>
        <v>23.6</v>
      </c>
      <c r="K29" s="23">
        <v>33.9</v>
      </c>
      <c r="L29" s="23">
        <f>ROUND(L28-K29,1)</f>
        <v>132.69999999999999</v>
      </c>
      <c r="M29" s="23">
        <f t="shared" si="1"/>
        <v>23.2</v>
      </c>
      <c r="N29" s="23">
        <f t="shared" si="2"/>
        <v>23.4</v>
      </c>
      <c r="O29" s="23">
        <f t="shared" si="3"/>
        <v>0.3</v>
      </c>
      <c r="P29" s="23">
        <f t="shared" si="4"/>
        <v>0.8</v>
      </c>
      <c r="Q29" s="23"/>
      <c r="R29" s="23"/>
    </row>
    <row r="30" spans="1:18" x14ac:dyDescent="0.2">
      <c r="A30" s="23" t="s">
        <v>0</v>
      </c>
      <c r="B30" s="23">
        <v>30</v>
      </c>
      <c r="C30" s="23">
        <v>1</v>
      </c>
      <c r="D30" s="23" t="s">
        <v>42</v>
      </c>
      <c r="E30" s="23">
        <v>240</v>
      </c>
      <c r="F30" s="23">
        <v>4</v>
      </c>
      <c r="G30" s="23">
        <v>1</v>
      </c>
      <c r="H30" s="23">
        <v>31.4</v>
      </c>
      <c r="I30" s="23">
        <f>ROUND(I29-H30,1)</f>
        <v>100.9</v>
      </c>
      <c r="J30" s="23">
        <f t="shared" si="0"/>
        <v>21.4</v>
      </c>
      <c r="K30" s="23">
        <v>32.200000000000003</v>
      </c>
      <c r="L30" s="23">
        <f>ROUND(L29-K30,1)</f>
        <v>100.5</v>
      </c>
      <c r="M30" s="23">
        <f t="shared" si="1"/>
        <v>22</v>
      </c>
      <c r="N30" s="23">
        <f t="shared" si="2"/>
        <v>21.7</v>
      </c>
      <c r="O30" s="23">
        <f t="shared" si="3"/>
        <v>0.4</v>
      </c>
      <c r="P30" s="23">
        <f t="shared" si="4"/>
        <v>0.7</v>
      </c>
      <c r="Q30" s="23"/>
      <c r="R30" s="23"/>
    </row>
    <row r="31" spans="1:18" x14ac:dyDescent="0.2">
      <c r="A31" s="23" t="s">
        <v>0</v>
      </c>
      <c r="B31" s="23">
        <v>30</v>
      </c>
      <c r="C31" s="23">
        <v>1</v>
      </c>
      <c r="D31" s="23" t="s">
        <v>42</v>
      </c>
      <c r="E31" s="23">
        <v>300</v>
      </c>
      <c r="F31" s="23">
        <v>5</v>
      </c>
      <c r="G31" s="23">
        <v>1</v>
      </c>
      <c r="H31" s="23">
        <v>29.8</v>
      </c>
      <c r="I31" s="23">
        <f>ROUND(I30-H31,1)</f>
        <v>71.099999999999994</v>
      </c>
      <c r="J31" s="23">
        <f t="shared" si="0"/>
        <v>20.399999999999999</v>
      </c>
      <c r="K31" s="23">
        <v>29.3</v>
      </c>
      <c r="L31" s="23">
        <f>ROUND(L30-K31,1)</f>
        <v>71.2</v>
      </c>
      <c r="M31" s="23">
        <f t="shared" si="1"/>
        <v>20</v>
      </c>
      <c r="N31" s="23">
        <f t="shared" si="2"/>
        <v>20.2</v>
      </c>
      <c r="O31" s="23">
        <f t="shared" si="3"/>
        <v>0.3</v>
      </c>
      <c r="P31" s="23">
        <f t="shared" si="4"/>
        <v>0.7</v>
      </c>
      <c r="Q31" s="23"/>
      <c r="R31" s="23"/>
    </row>
    <row r="32" spans="1:18" x14ac:dyDescent="0.2">
      <c r="A32" s="25" t="s">
        <v>0</v>
      </c>
      <c r="B32" s="25">
        <v>30</v>
      </c>
      <c r="C32" s="25">
        <v>1</v>
      </c>
      <c r="D32" s="25" t="s">
        <v>55</v>
      </c>
      <c r="E32" s="25">
        <v>60</v>
      </c>
      <c r="F32" s="25">
        <v>1</v>
      </c>
      <c r="G32" s="25">
        <v>1</v>
      </c>
      <c r="H32" s="25">
        <v>37.4</v>
      </c>
      <c r="I32" s="25">
        <f>ROUND($B$6-H32,1)</f>
        <v>212.6</v>
      </c>
      <c r="J32" s="25">
        <f t="shared" si="0"/>
        <v>25.5</v>
      </c>
      <c r="K32" s="25">
        <v>38.5</v>
      </c>
      <c r="L32" s="25">
        <f>ROUND($B$6-K32,1)</f>
        <v>211.5</v>
      </c>
      <c r="M32" s="25">
        <f t="shared" si="1"/>
        <v>26.3</v>
      </c>
      <c r="N32" s="25">
        <f t="shared" si="2"/>
        <v>25.9</v>
      </c>
      <c r="O32" s="25">
        <f t="shared" si="3"/>
        <v>0.6</v>
      </c>
      <c r="P32" s="25">
        <f t="shared" si="4"/>
        <v>0.9</v>
      </c>
      <c r="Q32" s="25">
        <f>ROUND(N32/N26*100,1)</f>
        <v>79</v>
      </c>
      <c r="R32" s="25">
        <f>ROUND(STDEV(J32/J26*100,M32/M26*100),1)</f>
        <v>0.9</v>
      </c>
    </row>
    <row r="33" spans="1:18" x14ac:dyDescent="0.2">
      <c r="A33" s="25" t="s">
        <v>0</v>
      </c>
      <c r="B33" s="25">
        <v>30</v>
      </c>
      <c r="C33" s="25">
        <v>1</v>
      </c>
      <c r="D33" s="25" t="s">
        <v>55</v>
      </c>
      <c r="E33" s="25">
        <v>120</v>
      </c>
      <c r="F33" s="25">
        <v>2</v>
      </c>
      <c r="G33" s="25">
        <v>1</v>
      </c>
      <c r="H33" s="25">
        <v>39.6</v>
      </c>
      <c r="I33" s="25">
        <f>ROUND(I32-H33,1)</f>
        <v>173</v>
      </c>
      <c r="J33" s="25">
        <f t="shared" si="0"/>
        <v>27</v>
      </c>
      <c r="K33" s="25">
        <v>39.1</v>
      </c>
      <c r="L33" s="25">
        <f>ROUND(L32-K33,1)</f>
        <v>172.4</v>
      </c>
      <c r="M33" s="25">
        <f t="shared" si="1"/>
        <v>26.7</v>
      </c>
      <c r="N33" s="25">
        <f t="shared" si="2"/>
        <v>26.9</v>
      </c>
      <c r="O33" s="25">
        <f t="shared" si="3"/>
        <v>0.2</v>
      </c>
      <c r="P33" s="25">
        <f t="shared" si="4"/>
        <v>0.9</v>
      </c>
      <c r="Q33" s="25">
        <f>ROUND(N33/N26*100,1)</f>
        <v>82</v>
      </c>
      <c r="R33" s="25">
        <f>ROUND(STDEV(J33/J26*100,M33/M26*100),1)</f>
        <v>1.5</v>
      </c>
    </row>
    <row r="34" spans="1:18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1:18" x14ac:dyDescent="0.2">
      <c r="A35" s="34" t="s">
        <v>68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 ht="34" x14ac:dyDescent="0.2">
      <c r="A36" s="33" t="s">
        <v>19</v>
      </c>
      <c r="B36" s="33" t="s">
        <v>26</v>
      </c>
      <c r="C36" s="33" t="s">
        <v>53</v>
      </c>
      <c r="D36" s="33" t="s">
        <v>27</v>
      </c>
      <c r="E36" s="33" t="s">
        <v>28</v>
      </c>
      <c r="F36" s="33" t="s">
        <v>4</v>
      </c>
      <c r="G36" s="33" t="s">
        <v>29</v>
      </c>
      <c r="H36" s="33" t="s">
        <v>30</v>
      </c>
      <c r="I36" s="33" t="s">
        <v>31</v>
      </c>
      <c r="J36" s="33" t="s">
        <v>32</v>
      </c>
      <c r="K36" s="33" t="s">
        <v>33</v>
      </c>
      <c r="L36" s="33" t="s">
        <v>34</v>
      </c>
      <c r="M36" s="33" t="s">
        <v>35</v>
      </c>
      <c r="N36" s="33" t="s">
        <v>36</v>
      </c>
      <c r="O36" s="33" t="s">
        <v>37</v>
      </c>
      <c r="P36" s="33" t="s">
        <v>38</v>
      </c>
      <c r="Q36" s="33" t="s">
        <v>54</v>
      </c>
      <c r="R36" s="33" t="s">
        <v>44</v>
      </c>
    </row>
    <row r="37" spans="1:18" x14ac:dyDescent="0.2">
      <c r="A37" s="21" t="s">
        <v>5</v>
      </c>
      <c r="B37" s="21">
        <v>12</v>
      </c>
      <c r="C37" s="21">
        <v>1</v>
      </c>
      <c r="D37" s="21" t="s">
        <v>39</v>
      </c>
      <c r="E37" s="21">
        <v>300</v>
      </c>
      <c r="F37" s="21">
        <v>5</v>
      </c>
      <c r="G37" s="21">
        <v>1</v>
      </c>
      <c r="H37" s="21">
        <v>48.1</v>
      </c>
      <c r="I37" s="21"/>
      <c r="J37" s="21">
        <f t="shared" ref="J37:J60" si="5">ROUND(H37/1000/$B$2/G37,1)</f>
        <v>32.9</v>
      </c>
      <c r="K37" s="21">
        <v>47.4</v>
      </c>
      <c r="L37" s="21"/>
      <c r="M37" s="21">
        <f t="shared" ref="M37:M60" si="6">ROUND(K37/1000/$B$2/G37,1)</f>
        <v>32.4</v>
      </c>
      <c r="N37" s="21">
        <f t="shared" ref="N37:N60" si="7">ROUND(AVERAGE(J37,M37),1)</f>
        <v>32.700000000000003</v>
      </c>
      <c r="O37" s="21">
        <f t="shared" ref="O37:O60" si="8">ROUND(STDEV(J37,M37),1)</f>
        <v>0.4</v>
      </c>
      <c r="P37" s="21">
        <f t="shared" ref="P37:P60" si="9">ROUND(N37/B37,1)</f>
        <v>2.7</v>
      </c>
      <c r="Q37" s="21"/>
      <c r="R37" s="21"/>
    </row>
    <row r="38" spans="1:18" x14ac:dyDescent="0.2">
      <c r="A38" s="23" t="s">
        <v>5</v>
      </c>
      <c r="B38" s="23">
        <v>12</v>
      </c>
      <c r="C38" s="23">
        <v>1</v>
      </c>
      <c r="D38" s="23" t="s">
        <v>42</v>
      </c>
      <c r="E38" s="23">
        <v>60</v>
      </c>
      <c r="F38" s="23">
        <v>1</v>
      </c>
      <c r="G38" s="23">
        <v>1</v>
      </c>
      <c r="H38" s="23">
        <v>41.8</v>
      </c>
      <c r="I38" s="23">
        <f>ROUND($B$6-H38,1)</f>
        <v>208.2</v>
      </c>
      <c r="J38" s="23">
        <f t="shared" si="5"/>
        <v>28.6</v>
      </c>
      <c r="K38" s="23">
        <v>42.7</v>
      </c>
      <c r="L38" s="23">
        <f>ROUND($B$6-K38,1)</f>
        <v>207.3</v>
      </c>
      <c r="M38" s="23">
        <f t="shared" si="6"/>
        <v>29.2</v>
      </c>
      <c r="N38" s="23">
        <f t="shared" si="7"/>
        <v>28.9</v>
      </c>
      <c r="O38" s="23">
        <f t="shared" si="8"/>
        <v>0.4</v>
      </c>
      <c r="P38" s="23">
        <f t="shared" si="9"/>
        <v>2.4</v>
      </c>
      <c r="Q38" s="23"/>
      <c r="R38" s="23"/>
    </row>
    <row r="39" spans="1:18" x14ac:dyDescent="0.2">
      <c r="A39" s="23" t="s">
        <v>5</v>
      </c>
      <c r="B39" s="23">
        <v>12</v>
      </c>
      <c r="C39" s="23">
        <v>1</v>
      </c>
      <c r="D39" s="23" t="s">
        <v>42</v>
      </c>
      <c r="E39" s="23">
        <v>120</v>
      </c>
      <c r="F39" s="23">
        <v>2</v>
      </c>
      <c r="G39" s="23">
        <v>1</v>
      </c>
      <c r="H39" s="23">
        <v>33.799999999999997</v>
      </c>
      <c r="I39" s="23">
        <f>ROUND(I38-H39,1)</f>
        <v>174.4</v>
      </c>
      <c r="J39" s="23">
        <f t="shared" si="5"/>
        <v>23.1</v>
      </c>
      <c r="K39" s="23">
        <v>32.799999999999997</v>
      </c>
      <c r="L39" s="23">
        <f>ROUND(L38-K39,1)</f>
        <v>174.5</v>
      </c>
      <c r="M39" s="23">
        <f t="shared" si="6"/>
        <v>22.4</v>
      </c>
      <c r="N39" s="23">
        <f t="shared" si="7"/>
        <v>22.8</v>
      </c>
      <c r="O39" s="23">
        <f t="shared" si="8"/>
        <v>0.5</v>
      </c>
      <c r="P39" s="23">
        <f t="shared" si="9"/>
        <v>1.9</v>
      </c>
      <c r="Q39" s="23"/>
      <c r="R39" s="23"/>
    </row>
    <row r="40" spans="1:18" x14ac:dyDescent="0.2">
      <c r="A40" s="23" t="s">
        <v>5</v>
      </c>
      <c r="B40" s="23">
        <v>12</v>
      </c>
      <c r="C40" s="23">
        <v>1</v>
      </c>
      <c r="D40" s="23" t="s">
        <v>42</v>
      </c>
      <c r="E40" s="23">
        <v>180</v>
      </c>
      <c r="F40" s="23">
        <v>3</v>
      </c>
      <c r="G40" s="23">
        <v>1</v>
      </c>
      <c r="H40" s="23">
        <v>28.4</v>
      </c>
      <c r="I40" s="23">
        <f>ROUND(I39-H40,1)</f>
        <v>146</v>
      </c>
      <c r="J40" s="23">
        <f t="shared" si="5"/>
        <v>19.399999999999999</v>
      </c>
      <c r="K40" s="23">
        <v>29</v>
      </c>
      <c r="L40" s="23">
        <f>ROUND(L39-K40,1)</f>
        <v>145.5</v>
      </c>
      <c r="M40" s="23">
        <f t="shared" si="6"/>
        <v>19.8</v>
      </c>
      <c r="N40" s="23">
        <f t="shared" si="7"/>
        <v>19.600000000000001</v>
      </c>
      <c r="O40" s="23">
        <f t="shared" si="8"/>
        <v>0.3</v>
      </c>
      <c r="P40" s="23">
        <f t="shared" si="9"/>
        <v>1.6</v>
      </c>
      <c r="Q40" s="23"/>
      <c r="R40" s="23"/>
    </row>
    <row r="41" spans="1:18" x14ac:dyDescent="0.2">
      <c r="A41" s="23" t="s">
        <v>5</v>
      </c>
      <c r="B41" s="23">
        <v>12</v>
      </c>
      <c r="C41" s="23">
        <v>1</v>
      </c>
      <c r="D41" s="23" t="s">
        <v>42</v>
      </c>
      <c r="E41" s="23">
        <v>240</v>
      </c>
      <c r="F41" s="23">
        <v>4</v>
      </c>
      <c r="G41" s="23">
        <v>1</v>
      </c>
      <c r="H41" s="23">
        <v>19.100000000000001</v>
      </c>
      <c r="I41" s="23">
        <f>ROUND(I40-H41,1)</f>
        <v>126.9</v>
      </c>
      <c r="J41" s="23">
        <f t="shared" si="5"/>
        <v>13</v>
      </c>
      <c r="K41" s="23">
        <v>18.399999999999999</v>
      </c>
      <c r="L41" s="23">
        <f>ROUND(L40-K41,1)</f>
        <v>127.1</v>
      </c>
      <c r="M41" s="23">
        <f t="shared" si="6"/>
        <v>12.6</v>
      </c>
      <c r="N41" s="23">
        <f t="shared" si="7"/>
        <v>12.8</v>
      </c>
      <c r="O41" s="23">
        <f t="shared" si="8"/>
        <v>0.3</v>
      </c>
      <c r="P41" s="23">
        <f t="shared" si="9"/>
        <v>1.1000000000000001</v>
      </c>
      <c r="Q41" s="23"/>
      <c r="R41" s="23"/>
    </row>
    <row r="42" spans="1:18" x14ac:dyDescent="0.2">
      <c r="A42" s="23" t="s">
        <v>5</v>
      </c>
      <c r="B42" s="23">
        <v>12</v>
      </c>
      <c r="C42" s="23">
        <v>1</v>
      </c>
      <c r="D42" s="23" t="s">
        <v>42</v>
      </c>
      <c r="E42" s="23">
        <v>300</v>
      </c>
      <c r="F42" s="23">
        <v>5</v>
      </c>
      <c r="G42" s="23">
        <v>1</v>
      </c>
      <c r="H42" s="23">
        <v>15</v>
      </c>
      <c r="I42" s="23">
        <f>ROUND(I41-H42,1)</f>
        <v>111.9</v>
      </c>
      <c r="J42" s="23">
        <f t="shared" si="5"/>
        <v>10.199999999999999</v>
      </c>
      <c r="K42" s="23">
        <v>15.5</v>
      </c>
      <c r="L42" s="23">
        <f>ROUND(L41-K42,1)</f>
        <v>111.6</v>
      </c>
      <c r="M42" s="23">
        <f t="shared" si="6"/>
        <v>10.6</v>
      </c>
      <c r="N42" s="23">
        <f t="shared" si="7"/>
        <v>10.4</v>
      </c>
      <c r="O42" s="23">
        <f t="shared" si="8"/>
        <v>0.3</v>
      </c>
      <c r="P42" s="23">
        <f t="shared" si="9"/>
        <v>0.9</v>
      </c>
      <c r="Q42" s="23"/>
      <c r="R42" s="23"/>
    </row>
    <row r="43" spans="1:18" x14ac:dyDescent="0.2">
      <c r="A43" s="25" t="s">
        <v>5</v>
      </c>
      <c r="B43" s="25">
        <v>12</v>
      </c>
      <c r="C43" s="25">
        <v>1</v>
      </c>
      <c r="D43" s="25" t="s">
        <v>55</v>
      </c>
      <c r="E43" s="25">
        <v>60</v>
      </c>
      <c r="F43" s="25">
        <v>1</v>
      </c>
      <c r="G43" s="25">
        <v>1</v>
      </c>
      <c r="H43" s="25">
        <v>26.3</v>
      </c>
      <c r="I43" s="25">
        <f>ROUND($B$6-H43,1)</f>
        <v>223.7</v>
      </c>
      <c r="J43" s="25">
        <f t="shared" si="5"/>
        <v>18</v>
      </c>
      <c r="K43" s="25">
        <v>25.3</v>
      </c>
      <c r="L43" s="25">
        <f>ROUND($B$6-K43,1)</f>
        <v>224.7</v>
      </c>
      <c r="M43" s="25">
        <f t="shared" si="6"/>
        <v>17.3</v>
      </c>
      <c r="N43" s="25">
        <f t="shared" si="7"/>
        <v>17.7</v>
      </c>
      <c r="O43" s="25">
        <f t="shared" si="8"/>
        <v>0.5</v>
      </c>
      <c r="P43" s="25">
        <f t="shared" si="9"/>
        <v>1.5</v>
      </c>
      <c r="Q43" s="25">
        <f>ROUND(N43/N37*100,1)</f>
        <v>54.1</v>
      </c>
      <c r="R43" s="25">
        <f>ROUND(STDEV(J43/J37*100,M43/M37*100),1)</f>
        <v>0.9</v>
      </c>
    </row>
    <row r="44" spans="1:18" x14ac:dyDescent="0.2">
      <c r="A44" s="25" t="s">
        <v>5</v>
      </c>
      <c r="B44" s="25">
        <v>12</v>
      </c>
      <c r="C44" s="25">
        <v>1</v>
      </c>
      <c r="D44" s="25" t="s">
        <v>55</v>
      </c>
      <c r="E44" s="25">
        <v>120</v>
      </c>
      <c r="F44" s="25">
        <v>2</v>
      </c>
      <c r="G44" s="25">
        <v>1</v>
      </c>
      <c r="H44" s="25">
        <v>26.5</v>
      </c>
      <c r="I44" s="25">
        <f>ROUND(I43-H44,1)</f>
        <v>197.2</v>
      </c>
      <c r="J44" s="25">
        <f t="shared" si="5"/>
        <v>18.100000000000001</v>
      </c>
      <c r="K44" s="25">
        <v>27</v>
      </c>
      <c r="L44" s="25">
        <f>ROUND(L43-K44,1)</f>
        <v>197.7</v>
      </c>
      <c r="M44" s="25">
        <f t="shared" si="6"/>
        <v>18.399999999999999</v>
      </c>
      <c r="N44" s="25">
        <f t="shared" si="7"/>
        <v>18.3</v>
      </c>
      <c r="O44" s="25">
        <f t="shared" si="8"/>
        <v>0.2</v>
      </c>
      <c r="P44" s="25">
        <f t="shared" si="9"/>
        <v>1.5</v>
      </c>
      <c r="Q44" s="25">
        <f>ROUND(N44/N37*100,1)</f>
        <v>56</v>
      </c>
      <c r="R44" s="25">
        <f>ROUND(STDEV(J44/J37*100,M44/M37*100),1)</f>
        <v>1.3</v>
      </c>
    </row>
    <row r="45" spans="1:18" x14ac:dyDescent="0.2">
      <c r="A45" s="21" t="s">
        <v>1</v>
      </c>
      <c r="B45" s="21">
        <v>30</v>
      </c>
      <c r="C45" s="21">
        <v>1</v>
      </c>
      <c r="D45" s="21" t="s">
        <v>39</v>
      </c>
      <c r="E45" s="21">
        <v>300</v>
      </c>
      <c r="F45" s="21">
        <v>5</v>
      </c>
      <c r="G45" s="21">
        <v>1</v>
      </c>
      <c r="H45" s="21">
        <v>48.2</v>
      </c>
      <c r="I45" s="21"/>
      <c r="J45" s="21">
        <f t="shared" si="5"/>
        <v>32.9</v>
      </c>
      <c r="K45" s="21">
        <v>47.7</v>
      </c>
      <c r="L45" s="21"/>
      <c r="M45" s="21">
        <f t="shared" si="6"/>
        <v>32.6</v>
      </c>
      <c r="N45" s="21">
        <f t="shared" si="7"/>
        <v>32.799999999999997</v>
      </c>
      <c r="O45" s="21">
        <f t="shared" si="8"/>
        <v>0.2</v>
      </c>
      <c r="P45" s="21">
        <f t="shared" si="9"/>
        <v>1.1000000000000001</v>
      </c>
      <c r="Q45" s="21"/>
      <c r="R45" s="21"/>
    </row>
    <row r="46" spans="1:18" x14ac:dyDescent="0.2">
      <c r="A46" s="23" t="s">
        <v>1</v>
      </c>
      <c r="B46" s="23">
        <v>30</v>
      </c>
      <c r="C46" s="23">
        <v>1</v>
      </c>
      <c r="D46" s="23" t="s">
        <v>42</v>
      </c>
      <c r="E46" s="23">
        <v>60</v>
      </c>
      <c r="F46" s="23">
        <v>1</v>
      </c>
      <c r="G46" s="23">
        <v>1</v>
      </c>
      <c r="H46" s="23">
        <v>41.9</v>
      </c>
      <c r="I46" s="23">
        <f>ROUND($B$6-H46,1)</f>
        <v>208.1</v>
      </c>
      <c r="J46" s="23">
        <f t="shared" si="5"/>
        <v>28.6</v>
      </c>
      <c r="K46" s="23">
        <v>42.6</v>
      </c>
      <c r="L46" s="23">
        <f>ROUND($B$6-K46,1)</f>
        <v>207.4</v>
      </c>
      <c r="M46" s="23">
        <f t="shared" si="6"/>
        <v>29.1</v>
      </c>
      <c r="N46" s="23">
        <f t="shared" si="7"/>
        <v>28.9</v>
      </c>
      <c r="O46" s="23">
        <f t="shared" si="8"/>
        <v>0.4</v>
      </c>
      <c r="P46" s="23">
        <f t="shared" si="9"/>
        <v>1</v>
      </c>
      <c r="Q46" s="23"/>
      <c r="R46" s="23"/>
    </row>
    <row r="47" spans="1:18" x14ac:dyDescent="0.2">
      <c r="A47" s="23" t="s">
        <v>1</v>
      </c>
      <c r="B47" s="23">
        <v>30</v>
      </c>
      <c r="C47" s="23">
        <v>1</v>
      </c>
      <c r="D47" s="23" t="s">
        <v>42</v>
      </c>
      <c r="E47" s="23">
        <v>120</v>
      </c>
      <c r="F47" s="23">
        <v>2</v>
      </c>
      <c r="G47" s="23">
        <v>1</v>
      </c>
      <c r="H47" s="23">
        <v>37.299999999999997</v>
      </c>
      <c r="I47" s="23">
        <f>ROUND(I46-H47,1)</f>
        <v>170.8</v>
      </c>
      <c r="J47" s="23">
        <f t="shared" si="5"/>
        <v>25.5</v>
      </c>
      <c r="K47" s="23">
        <v>36.5</v>
      </c>
      <c r="L47" s="23">
        <f>ROUND(L46-K47,1)</f>
        <v>170.9</v>
      </c>
      <c r="M47" s="23">
        <f t="shared" si="6"/>
        <v>24.9</v>
      </c>
      <c r="N47" s="23">
        <f t="shared" si="7"/>
        <v>25.2</v>
      </c>
      <c r="O47" s="23">
        <f t="shared" si="8"/>
        <v>0.4</v>
      </c>
      <c r="P47" s="23">
        <f t="shared" si="9"/>
        <v>0.8</v>
      </c>
      <c r="Q47" s="23"/>
      <c r="R47" s="23"/>
    </row>
    <row r="48" spans="1:18" x14ac:dyDescent="0.2">
      <c r="A48" s="23" t="s">
        <v>1</v>
      </c>
      <c r="B48" s="23">
        <v>30</v>
      </c>
      <c r="C48" s="23">
        <v>1</v>
      </c>
      <c r="D48" s="23" t="s">
        <v>42</v>
      </c>
      <c r="E48" s="23">
        <v>180</v>
      </c>
      <c r="F48" s="23">
        <v>3</v>
      </c>
      <c r="G48" s="23">
        <v>1</v>
      </c>
      <c r="H48" s="23">
        <v>33.6</v>
      </c>
      <c r="I48" s="23">
        <f>ROUND(I47-H48,1)</f>
        <v>137.19999999999999</v>
      </c>
      <c r="J48" s="23">
        <f t="shared" si="5"/>
        <v>23</v>
      </c>
      <c r="K48" s="23">
        <v>34.5</v>
      </c>
      <c r="L48" s="23">
        <f>ROUND(L47-K48,1)</f>
        <v>136.4</v>
      </c>
      <c r="M48" s="23">
        <f t="shared" si="6"/>
        <v>23.6</v>
      </c>
      <c r="N48" s="23">
        <f t="shared" si="7"/>
        <v>23.3</v>
      </c>
      <c r="O48" s="23">
        <f t="shared" si="8"/>
        <v>0.4</v>
      </c>
      <c r="P48" s="23">
        <f t="shared" si="9"/>
        <v>0.8</v>
      </c>
      <c r="Q48" s="23"/>
      <c r="R48" s="23"/>
    </row>
    <row r="49" spans="1:18" x14ac:dyDescent="0.2">
      <c r="A49" s="23" t="s">
        <v>1</v>
      </c>
      <c r="B49" s="23">
        <v>30</v>
      </c>
      <c r="C49" s="23">
        <v>1</v>
      </c>
      <c r="D49" s="23" t="s">
        <v>42</v>
      </c>
      <c r="E49" s="23">
        <v>240</v>
      </c>
      <c r="F49" s="23">
        <v>4</v>
      </c>
      <c r="G49" s="23">
        <v>1</v>
      </c>
      <c r="H49" s="23">
        <v>28.7</v>
      </c>
      <c r="I49" s="23">
        <f>ROUND(I48-H49,1)</f>
        <v>108.5</v>
      </c>
      <c r="J49" s="23">
        <f t="shared" si="5"/>
        <v>19.600000000000001</v>
      </c>
      <c r="K49" s="23">
        <v>28.1</v>
      </c>
      <c r="L49" s="23">
        <f>ROUND(L48-K49,1)</f>
        <v>108.3</v>
      </c>
      <c r="M49" s="23">
        <f t="shared" si="6"/>
        <v>19.2</v>
      </c>
      <c r="N49" s="23">
        <f t="shared" si="7"/>
        <v>19.399999999999999</v>
      </c>
      <c r="O49" s="23">
        <f t="shared" si="8"/>
        <v>0.3</v>
      </c>
      <c r="P49" s="23">
        <f t="shared" si="9"/>
        <v>0.6</v>
      </c>
      <c r="Q49" s="23"/>
      <c r="R49" s="23"/>
    </row>
    <row r="50" spans="1:18" x14ac:dyDescent="0.2">
      <c r="A50" s="23" t="s">
        <v>1</v>
      </c>
      <c r="B50" s="23">
        <v>30</v>
      </c>
      <c r="C50" s="23">
        <v>1</v>
      </c>
      <c r="D50" s="23" t="s">
        <v>42</v>
      </c>
      <c r="E50" s="23">
        <v>300</v>
      </c>
      <c r="F50" s="23">
        <v>5</v>
      </c>
      <c r="G50" s="23">
        <v>1</v>
      </c>
      <c r="H50" s="23">
        <v>25.2</v>
      </c>
      <c r="I50" s="23">
        <f>ROUND(I49-H50,1)</f>
        <v>83.3</v>
      </c>
      <c r="J50" s="23">
        <f t="shared" si="5"/>
        <v>17.2</v>
      </c>
      <c r="K50" s="23">
        <v>25.9</v>
      </c>
      <c r="L50" s="23">
        <f>ROUND(L49-K50,1)</f>
        <v>82.4</v>
      </c>
      <c r="M50" s="23">
        <f t="shared" si="6"/>
        <v>17.7</v>
      </c>
      <c r="N50" s="23">
        <f t="shared" si="7"/>
        <v>17.5</v>
      </c>
      <c r="O50" s="23">
        <f t="shared" si="8"/>
        <v>0.4</v>
      </c>
      <c r="P50" s="23">
        <f t="shared" si="9"/>
        <v>0.6</v>
      </c>
      <c r="Q50" s="23"/>
      <c r="R50" s="23"/>
    </row>
    <row r="51" spans="1:18" x14ac:dyDescent="0.2">
      <c r="A51" s="25" t="s">
        <v>1</v>
      </c>
      <c r="B51" s="25">
        <v>30</v>
      </c>
      <c r="C51" s="25">
        <v>1</v>
      </c>
      <c r="D51" s="25" t="s">
        <v>55</v>
      </c>
      <c r="E51" s="25">
        <v>60</v>
      </c>
      <c r="F51" s="25">
        <v>1</v>
      </c>
      <c r="G51" s="25">
        <v>1</v>
      </c>
      <c r="H51" s="25">
        <v>38.200000000000003</v>
      </c>
      <c r="I51" s="25">
        <f>ROUND($B$6-H51,1)</f>
        <v>211.8</v>
      </c>
      <c r="J51" s="25">
        <f t="shared" si="5"/>
        <v>26.1</v>
      </c>
      <c r="K51" s="25">
        <v>37.700000000000003</v>
      </c>
      <c r="L51" s="25">
        <f>ROUND($B$6-K51,1)</f>
        <v>212.3</v>
      </c>
      <c r="M51" s="25">
        <f t="shared" si="6"/>
        <v>25.8</v>
      </c>
      <c r="N51" s="25">
        <f t="shared" si="7"/>
        <v>26</v>
      </c>
      <c r="O51" s="25">
        <f t="shared" si="8"/>
        <v>0.2</v>
      </c>
      <c r="P51" s="25">
        <f t="shared" si="9"/>
        <v>0.9</v>
      </c>
      <c r="Q51" s="25">
        <f>ROUND(N51/N45*100,1)</f>
        <v>79.3</v>
      </c>
      <c r="R51" s="25">
        <f>ROUND(STDEV(J51/J45*100,M51/M45*100),1)</f>
        <v>0.1</v>
      </c>
    </row>
    <row r="52" spans="1:18" x14ac:dyDescent="0.2">
      <c r="A52" s="25" t="s">
        <v>1</v>
      </c>
      <c r="B52" s="25">
        <v>30</v>
      </c>
      <c r="C52" s="25">
        <v>1</v>
      </c>
      <c r="D52" s="25" t="s">
        <v>55</v>
      </c>
      <c r="E52" s="25">
        <v>120</v>
      </c>
      <c r="F52" s="25">
        <v>2</v>
      </c>
      <c r="G52" s="25">
        <v>1</v>
      </c>
      <c r="H52" s="25">
        <v>38.799999999999997</v>
      </c>
      <c r="I52" s="25">
        <f>ROUND(I51-H52,1)</f>
        <v>173</v>
      </c>
      <c r="J52" s="25">
        <f t="shared" si="5"/>
        <v>26.5</v>
      </c>
      <c r="K52" s="25">
        <v>39.799999999999997</v>
      </c>
      <c r="L52" s="25">
        <f>ROUND(L51-K52,1)</f>
        <v>172.5</v>
      </c>
      <c r="M52" s="25">
        <f t="shared" si="6"/>
        <v>27.2</v>
      </c>
      <c r="N52" s="25">
        <f t="shared" si="7"/>
        <v>26.9</v>
      </c>
      <c r="O52" s="25">
        <f t="shared" si="8"/>
        <v>0.5</v>
      </c>
      <c r="P52" s="25">
        <f t="shared" si="9"/>
        <v>0.9</v>
      </c>
      <c r="Q52" s="25">
        <f>ROUND(N52/N45*100,1)</f>
        <v>82</v>
      </c>
      <c r="R52" s="25">
        <f>ROUND(STDEV(J52/J45*100,M52/M45*100),1)</f>
        <v>2</v>
      </c>
    </row>
    <row r="53" spans="1:18" x14ac:dyDescent="0.2">
      <c r="A53" s="21" t="s">
        <v>0</v>
      </c>
      <c r="B53" s="21">
        <v>30</v>
      </c>
      <c r="C53" s="21">
        <v>1</v>
      </c>
      <c r="D53" s="21" t="s">
        <v>39</v>
      </c>
      <c r="E53" s="21">
        <v>300</v>
      </c>
      <c r="F53" s="21">
        <v>5</v>
      </c>
      <c r="G53" s="21">
        <v>1</v>
      </c>
      <c r="H53" s="21">
        <v>48.3</v>
      </c>
      <c r="I53" s="21"/>
      <c r="J53" s="21">
        <f t="shared" si="5"/>
        <v>33</v>
      </c>
      <c r="K53" s="21">
        <v>47.9</v>
      </c>
      <c r="L53" s="21"/>
      <c r="M53" s="21">
        <f t="shared" si="6"/>
        <v>32.700000000000003</v>
      </c>
      <c r="N53" s="21">
        <f t="shared" si="7"/>
        <v>32.9</v>
      </c>
      <c r="O53" s="21">
        <f t="shared" si="8"/>
        <v>0.2</v>
      </c>
      <c r="P53" s="21">
        <f t="shared" si="9"/>
        <v>1.1000000000000001</v>
      </c>
      <c r="Q53" s="21"/>
      <c r="R53" s="21"/>
    </row>
    <row r="54" spans="1:18" x14ac:dyDescent="0.2">
      <c r="A54" s="23" t="s">
        <v>0</v>
      </c>
      <c r="B54" s="23">
        <v>30</v>
      </c>
      <c r="C54" s="23">
        <v>1</v>
      </c>
      <c r="D54" s="23" t="s">
        <v>42</v>
      </c>
      <c r="E54" s="23">
        <v>60</v>
      </c>
      <c r="F54" s="23">
        <v>1</v>
      </c>
      <c r="G54" s="23">
        <v>1</v>
      </c>
      <c r="H54" s="23">
        <v>43.4</v>
      </c>
      <c r="I54" s="23">
        <f>ROUND($B$6-H54,1)</f>
        <v>206.6</v>
      </c>
      <c r="J54" s="23">
        <f t="shared" si="5"/>
        <v>29.6</v>
      </c>
      <c r="K54" s="23">
        <v>44</v>
      </c>
      <c r="L54" s="23">
        <f>ROUND($B$6-K54,1)</f>
        <v>206</v>
      </c>
      <c r="M54" s="23">
        <f t="shared" si="6"/>
        <v>30.1</v>
      </c>
      <c r="N54" s="23">
        <f t="shared" si="7"/>
        <v>29.9</v>
      </c>
      <c r="O54" s="23">
        <f t="shared" si="8"/>
        <v>0.4</v>
      </c>
      <c r="P54" s="23">
        <f t="shared" si="9"/>
        <v>1</v>
      </c>
      <c r="Q54" s="23"/>
      <c r="R54" s="23"/>
    </row>
    <row r="55" spans="1:18" x14ac:dyDescent="0.2">
      <c r="A55" s="23" t="s">
        <v>0</v>
      </c>
      <c r="B55" s="23">
        <v>30</v>
      </c>
      <c r="C55" s="23">
        <v>1</v>
      </c>
      <c r="D55" s="23" t="s">
        <v>42</v>
      </c>
      <c r="E55" s="23">
        <v>120</v>
      </c>
      <c r="F55" s="23">
        <v>2</v>
      </c>
      <c r="G55" s="23">
        <v>1</v>
      </c>
      <c r="H55" s="23">
        <v>40.200000000000003</v>
      </c>
      <c r="I55" s="23">
        <f>ROUND(I54-H55,1)</f>
        <v>166.4</v>
      </c>
      <c r="J55" s="23">
        <f t="shared" si="5"/>
        <v>27.5</v>
      </c>
      <c r="K55" s="23">
        <v>39.5</v>
      </c>
      <c r="L55" s="23">
        <f>ROUND(L54-K55,1)</f>
        <v>166.5</v>
      </c>
      <c r="M55" s="23">
        <f t="shared" si="6"/>
        <v>27</v>
      </c>
      <c r="N55" s="23">
        <f t="shared" si="7"/>
        <v>27.3</v>
      </c>
      <c r="O55" s="23">
        <f t="shared" si="8"/>
        <v>0.4</v>
      </c>
      <c r="P55" s="23">
        <f t="shared" si="9"/>
        <v>0.9</v>
      </c>
      <c r="Q55" s="23"/>
      <c r="R55" s="23"/>
    </row>
    <row r="56" spans="1:18" x14ac:dyDescent="0.2">
      <c r="A56" s="23" t="s">
        <v>0</v>
      </c>
      <c r="B56" s="23">
        <v>30</v>
      </c>
      <c r="C56" s="23">
        <v>1</v>
      </c>
      <c r="D56" s="23" t="s">
        <v>42</v>
      </c>
      <c r="E56" s="23">
        <v>180</v>
      </c>
      <c r="F56" s="23">
        <v>3</v>
      </c>
      <c r="G56" s="23">
        <v>1</v>
      </c>
      <c r="H56" s="23">
        <v>34.1</v>
      </c>
      <c r="I56" s="23">
        <f>ROUND(I55-H56,1)</f>
        <v>132.30000000000001</v>
      </c>
      <c r="J56" s="23">
        <f t="shared" si="5"/>
        <v>23.3</v>
      </c>
      <c r="K56" s="23">
        <v>34.9</v>
      </c>
      <c r="L56" s="23">
        <f>ROUND(L55-K56,1)</f>
        <v>131.6</v>
      </c>
      <c r="M56" s="23">
        <f t="shared" si="6"/>
        <v>23.8</v>
      </c>
      <c r="N56" s="23">
        <f t="shared" si="7"/>
        <v>23.6</v>
      </c>
      <c r="O56" s="23">
        <f t="shared" si="8"/>
        <v>0.4</v>
      </c>
      <c r="P56" s="23">
        <f t="shared" si="9"/>
        <v>0.8</v>
      </c>
      <c r="Q56" s="23"/>
      <c r="R56" s="23"/>
    </row>
    <row r="57" spans="1:18" x14ac:dyDescent="0.2">
      <c r="A57" s="23" t="s">
        <v>0</v>
      </c>
      <c r="B57" s="23">
        <v>30</v>
      </c>
      <c r="C57" s="23">
        <v>1</v>
      </c>
      <c r="D57" s="23" t="s">
        <v>42</v>
      </c>
      <c r="E57" s="23">
        <v>240</v>
      </c>
      <c r="F57" s="23">
        <v>4</v>
      </c>
      <c r="G57" s="23">
        <v>1</v>
      </c>
      <c r="H57" s="23">
        <v>32.6</v>
      </c>
      <c r="I57" s="23">
        <f>ROUND(I56-H57,1)</f>
        <v>99.7</v>
      </c>
      <c r="J57" s="23">
        <f t="shared" si="5"/>
        <v>22.3</v>
      </c>
      <c r="K57" s="23">
        <v>31.7</v>
      </c>
      <c r="L57" s="23">
        <f>ROUND(L56-K57,1)</f>
        <v>99.9</v>
      </c>
      <c r="M57" s="23">
        <f t="shared" si="6"/>
        <v>21.7</v>
      </c>
      <c r="N57" s="23">
        <f t="shared" si="7"/>
        <v>22</v>
      </c>
      <c r="O57" s="23">
        <f t="shared" si="8"/>
        <v>0.4</v>
      </c>
      <c r="P57" s="23">
        <f t="shared" si="9"/>
        <v>0.7</v>
      </c>
      <c r="Q57" s="23"/>
      <c r="R57" s="23"/>
    </row>
    <row r="58" spans="1:18" x14ac:dyDescent="0.2">
      <c r="A58" s="23" t="s">
        <v>0</v>
      </c>
      <c r="B58" s="23">
        <v>30</v>
      </c>
      <c r="C58" s="23">
        <v>1</v>
      </c>
      <c r="D58" s="23" t="s">
        <v>42</v>
      </c>
      <c r="E58" s="23">
        <v>300</v>
      </c>
      <c r="F58" s="23">
        <v>5</v>
      </c>
      <c r="G58" s="23">
        <v>1</v>
      </c>
      <c r="H58" s="23">
        <v>29.6</v>
      </c>
      <c r="I58" s="23">
        <f>ROUND(I57-H58,1)</f>
        <v>70.099999999999994</v>
      </c>
      <c r="J58" s="23">
        <f t="shared" si="5"/>
        <v>20.2</v>
      </c>
      <c r="K58" s="23">
        <v>30.2</v>
      </c>
      <c r="L58" s="23">
        <f>ROUND(L57-K58,1)</f>
        <v>69.7</v>
      </c>
      <c r="M58" s="23">
        <f t="shared" si="6"/>
        <v>20.6</v>
      </c>
      <c r="N58" s="23">
        <f t="shared" si="7"/>
        <v>20.399999999999999</v>
      </c>
      <c r="O58" s="23">
        <f t="shared" si="8"/>
        <v>0.3</v>
      </c>
      <c r="P58" s="23">
        <f t="shared" si="9"/>
        <v>0.7</v>
      </c>
      <c r="Q58" s="23"/>
      <c r="R58" s="23"/>
    </row>
    <row r="59" spans="1:18" x14ac:dyDescent="0.2">
      <c r="A59" s="25" t="s">
        <v>0</v>
      </c>
      <c r="B59" s="25">
        <v>30</v>
      </c>
      <c r="C59" s="25">
        <v>1</v>
      </c>
      <c r="D59" s="25" t="s">
        <v>55</v>
      </c>
      <c r="E59" s="25">
        <v>60</v>
      </c>
      <c r="F59" s="25">
        <v>1</v>
      </c>
      <c r="G59" s="25">
        <v>1</v>
      </c>
      <c r="H59" s="25">
        <v>43.5</v>
      </c>
      <c r="I59" s="25">
        <f>ROUND($B$6-H59,1)</f>
        <v>206.5</v>
      </c>
      <c r="J59" s="25">
        <f t="shared" si="5"/>
        <v>29.7</v>
      </c>
      <c r="K59" s="25">
        <v>42.8</v>
      </c>
      <c r="L59" s="25">
        <f>ROUND($B$6-K59,1)</f>
        <v>207.2</v>
      </c>
      <c r="M59" s="25">
        <f t="shared" si="6"/>
        <v>29.2</v>
      </c>
      <c r="N59" s="25">
        <f t="shared" si="7"/>
        <v>29.5</v>
      </c>
      <c r="O59" s="25">
        <f t="shared" si="8"/>
        <v>0.4</v>
      </c>
      <c r="P59" s="25">
        <f t="shared" si="9"/>
        <v>1</v>
      </c>
      <c r="Q59" s="25">
        <f>ROUND(N59/N53*100,1)</f>
        <v>89.7</v>
      </c>
      <c r="R59" s="25">
        <f>ROUND(STDEV(J59/J53*100,M59/M53*100),1)</f>
        <v>0.5</v>
      </c>
    </row>
    <row r="60" spans="1:18" x14ac:dyDescent="0.2">
      <c r="A60" s="25" t="s">
        <v>0</v>
      </c>
      <c r="B60" s="25">
        <v>30</v>
      </c>
      <c r="C60" s="25">
        <v>1</v>
      </c>
      <c r="D60" s="25" t="s">
        <v>55</v>
      </c>
      <c r="E60" s="25">
        <v>120</v>
      </c>
      <c r="F60" s="25">
        <v>2</v>
      </c>
      <c r="G60" s="25">
        <v>1</v>
      </c>
      <c r="H60" s="25">
        <v>44.5</v>
      </c>
      <c r="I60" s="25">
        <f>ROUND(I59-H60,1)</f>
        <v>162</v>
      </c>
      <c r="J60" s="25">
        <f t="shared" si="5"/>
        <v>30.4</v>
      </c>
      <c r="K60" s="25">
        <v>45</v>
      </c>
      <c r="L60" s="25">
        <f>ROUND(L59-K60,1)</f>
        <v>162.19999999999999</v>
      </c>
      <c r="M60" s="25">
        <f t="shared" si="6"/>
        <v>30.7</v>
      </c>
      <c r="N60" s="25">
        <f t="shared" si="7"/>
        <v>30.6</v>
      </c>
      <c r="O60" s="25">
        <f t="shared" si="8"/>
        <v>0.2</v>
      </c>
      <c r="P60" s="25">
        <f t="shared" si="9"/>
        <v>1</v>
      </c>
      <c r="Q60" s="25">
        <f>ROUND(N60/N53*100,1)</f>
        <v>93</v>
      </c>
      <c r="R60" s="25">
        <f>ROUND(STDEV(J60/J53*100,M60/M53*100),1)</f>
        <v>1.2</v>
      </c>
    </row>
    <row r="61" spans="1:18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spans="1:18" x14ac:dyDescent="0.2">
      <c r="A62" s="34" t="s">
        <v>69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1:18" ht="34" x14ac:dyDescent="0.2">
      <c r="A63" s="33" t="s">
        <v>19</v>
      </c>
      <c r="B63" s="33" t="s">
        <v>26</v>
      </c>
      <c r="C63" s="33" t="s">
        <v>53</v>
      </c>
      <c r="D63" s="33" t="s">
        <v>27</v>
      </c>
      <c r="E63" s="33" t="s">
        <v>28</v>
      </c>
      <c r="F63" s="33" t="s">
        <v>4</v>
      </c>
      <c r="G63" s="33" t="s">
        <v>29</v>
      </c>
      <c r="H63" s="33" t="s">
        <v>30</v>
      </c>
      <c r="I63" s="33" t="s">
        <v>31</v>
      </c>
      <c r="J63" s="33" t="s">
        <v>32</v>
      </c>
      <c r="K63" s="33" t="s">
        <v>33</v>
      </c>
      <c r="L63" s="33" t="s">
        <v>34</v>
      </c>
      <c r="M63" s="33" t="s">
        <v>35</v>
      </c>
      <c r="N63" s="33" t="s">
        <v>36</v>
      </c>
      <c r="O63" s="33" t="s">
        <v>37</v>
      </c>
      <c r="P63" s="33" t="s">
        <v>38</v>
      </c>
      <c r="Q63" s="33" t="s">
        <v>54</v>
      </c>
      <c r="R63" s="33" t="s">
        <v>44</v>
      </c>
    </row>
    <row r="64" spans="1:18" x14ac:dyDescent="0.2">
      <c r="A64" s="21" t="s">
        <v>5</v>
      </c>
      <c r="B64" s="21">
        <v>12</v>
      </c>
      <c r="C64" s="21">
        <v>1</v>
      </c>
      <c r="D64" s="21" t="s">
        <v>39</v>
      </c>
      <c r="E64" s="21">
        <v>300</v>
      </c>
      <c r="F64" s="21">
        <v>5</v>
      </c>
      <c r="G64" s="21">
        <v>1</v>
      </c>
      <c r="H64" s="21">
        <v>47.7</v>
      </c>
      <c r="I64" s="21"/>
      <c r="J64" s="21">
        <f t="shared" ref="J64:J87" si="10">ROUND(H64/1000/$B$2/G64,1)</f>
        <v>32.6</v>
      </c>
      <c r="K64" s="21">
        <v>48.1</v>
      </c>
      <c r="L64" s="21"/>
      <c r="M64" s="21">
        <f t="shared" ref="M64:M87" si="11">ROUND(K64/1000/$B$2/G64,1)</f>
        <v>32.9</v>
      </c>
      <c r="N64" s="21">
        <f t="shared" ref="N64:N87" si="12">ROUND(AVERAGE(J64,M64),1)</f>
        <v>32.799999999999997</v>
      </c>
      <c r="O64" s="21">
        <f t="shared" ref="O64:O87" si="13">ROUND(STDEV(J64,M64),1)</f>
        <v>0.2</v>
      </c>
      <c r="P64" s="21">
        <f t="shared" ref="P64:P87" si="14">ROUND(N64/B64,1)</f>
        <v>2.7</v>
      </c>
      <c r="Q64" s="21"/>
      <c r="R64" s="21"/>
    </row>
    <row r="65" spans="1:18" x14ac:dyDescent="0.2">
      <c r="A65" s="23" t="s">
        <v>5</v>
      </c>
      <c r="B65" s="23">
        <v>12</v>
      </c>
      <c r="C65" s="23">
        <v>1</v>
      </c>
      <c r="D65" s="23" t="s">
        <v>42</v>
      </c>
      <c r="E65" s="23">
        <v>60</v>
      </c>
      <c r="F65" s="23">
        <v>1</v>
      </c>
      <c r="G65" s="23">
        <v>1</v>
      </c>
      <c r="H65" s="23">
        <v>42.6</v>
      </c>
      <c r="I65" s="23">
        <f>ROUND($B$6-H65,1)</f>
        <v>207.4</v>
      </c>
      <c r="J65" s="23">
        <f t="shared" si="10"/>
        <v>29.1</v>
      </c>
      <c r="K65" s="23">
        <v>42</v>
      </c>
      <c r="L65" s="23">
        <f>ROUND($B$6-K65,1)</f>
        <v>208</v>
      </c>
      <c r="M65" s="23">
        <f t="shared" si="11"/>
        <v>28.7</v>
      </c>
      <c r="N65" s="23">
        <f t="shared" si="12"/>
        <v>28.9</v>
      </c>
      <c r="O65" s="23">
        <f t="shared" si="13"/>
        <v>0.3</v>
      </c>
      <c r="P65" s="23">
        <f t="shared" si="14"/>
        <v>2.4</v>
      </c>
      <c r="Q65" s="23"/>
      <c r="R65" s="23"/>
    </row>
    <row r="66" spans="1:18" x14ac:dyDescent="0.2">
      <c r="A66" s="23" t="s">
        <v>5</v>
      </c>
      <c r="B66" s="23">
        <v>12</v>
      </c>
      <c r="C66" s="23">
        <v>1</v>
      </c>
      <c r="D66" s="23" t="s">
        <v>42</v>
      </c>
      <c r="E66" s="23">
        <v>120</v>
      </c>
      <c r="F66" s="23">
        <v>2</v>
      </c>
      <c r="G66" s="23">
        <v>1</v>
      </c>
      <c r="H66" s="23">
        <v>33.1</v>
      </c>
      <c r="I66" s="23">
        <f>ROUND(I65-H66,1)</f>
        <v>174.3</v>
      </c>
      <c r="J66" s="23">
        <f t="shared" si="10"/>
        <v>22.6</v>
      </c>
      <c r="K66" s="23">
        <v>33.799999999999997</v>
      </c>
      <c r="L66" s="23">
        <f>ROUND(L65-K66,1)</f>
        <v>174.2</v>
      </c>
      <c r="M66" s="23">
        <f t="shared" si="11"/>
        <v>23.1</v>
      </c>
      <c r="N66" s="23">
        <f t="shared" si="12"/>
        <v>22.9</v>
      </c>
      <c r="O66" s="23">
        <f t="shared" si="13"/>
        <v>0.4</v>
      </c>
      <c r="P66" s="23">
        <f t="shared" si="14"/>
        <v>1.9</v>
      </c>
      <c r="Q66" s="23"/>
      <c r="R66" s="23"/>
    </row>
    <row r="67" spans="1:18" x14ac:dyDescent="0.2">
      <c r="A67" s="23" t="s">
        <v>5</v>
      </c>
      <c r="B67" s="23">
        <v>12</v>
      </c>
      <c r="C67" s="23">
        <v>1</v>
      </c>
      <c r="D67" s="23" t="s">
        <v>42</v>
      </c>
      <c r="E67" s="23">
        <v>180</v>
      </c>
      <c r="F67" s="23">
        <v>3</v>
      </c>
      <c r="G67" s="23">
        <v>1</v>
      </c>
      <c r="H67" s="23">
        <v>29.3</v>
      </c>
      <c r="I67" s="23">
        <f>ROUND(I66-H67,1)</f>
        <v>145</v>
      </c>
      <c r="J67" s="23">
        <f t="shared" si="10"/>
        <v>20</v>
      </c>
      <c r="K67" s="23">
        <v>28.4</v>
      </c>
      <c r="L67" s="23">
        <f>ROUND(L66-K67,1)</f>
        <v>145.80000000000001</v>
      </c>
      <c r="M67" s="23">
        <f t="shared" si="11"/>
        <v>19.399999999999999</v>
      </c>
      <c r="N67" s="23">
        <f t="shared" si="12"/>
        <v>19.7</v>
      </c>
      <c r="O67" s="23">
        <f t="shared" si="13"/>
        <v>0.4</v>
      </c>
      <c r="P67" s="23">
        <f t="shared" si="14"/>
        <v>1.6</v>
      </c>
      <c r="Q67" s="23"/>
      <c r="R67" s="23"/>
    </row>
    <row r="68" spans="1:18" x14ac:dyDescent="0.2">
      <c r="A68" s="23" t="s">
        <v>5</v>
      </c>
      <c r="B68" s="23">
        <v>12</v>
      </c>
      <c r="C68" s="23">
        <v>1</v>
      </c>
      <c r="D68" s="23" t="s">
        <v>42</v>
      </c>
      <c r="E68" s="23">
        <v>240</v>
      </c>
      <c r="F68" s="23">
        <v>4</v>
      </c>
      <c r="G68" s="23">
        <v>1</v>
      </c>
      <c r="H68" s="23">
        <v>18.399999999999999</v>
      </c>
      <c r="I68" s="23">
        <f>ROUND(I67-H68,1)</f>
        <v>126.6</v>
      </c>
      <c r="J68" s="23">
        <f t="shared" si="10"/>
        <v>12.6</v>
      </c>
      <c r="K68" s="23">
        <v>19.399999999999999</v>
      </c>
      <c r="L68" s="23">
        <f>ROUND(L67-K68,1)</f>
        <v>126.4</v>
      </c>
      <c r="M68" s="23">
        <f t="shared" si="11"/>
        <v>13.3</v>
      </c>
      <c r="N68" s="23">
        <f t="shared" si="12"/>
        <v>13</v>
      </c>
      <c r="O68" s="23">
        <f t="shared" si="13"/>
        <v>0.5</v>
      </c>
      <c r="P68" s="23">
        <f t="shared" si="14"/>
        <v>1.1000000000000001</v>
      </c>
      <c r="Q68" s="23"/>
      <c r="R68" s="23"/>
    </row>
    <row r="69" spans="1:18" x14ac:dyDescent="0.2">
      <c r="A69" s="23" t="s">
        <v>5</v>
      </c>
      <c r="B69" s="23">
        <v>12</v>
      </c>
      <c r="C69" s="23">
        <v>1</v>
      </c>
      <c r="D69" s="23" t="s">
        <v>42</v>
      </c>
      <c r="E69" s="23">
        <v>300</v>
      </c>
      <c r="F69" s="23">
        <v>5</v>
      </c>
      <c r="G69" s="23">
        <v>1</v>
      </c>
      <c r="H69" s="23">
        <v>15.7</v>
      </c>
      <c r="I69" s="23">
        <f>ROUND(I68-H69,1)</f>
        <v>110.9</v>
      </c>
      <c r="J69" s="23">
        <f t="shared" si="10"/>
        <v>10.7</v>
      </c>
      <c r="K69" s="23">
        <v>15.1</v>
      </c>
      <c r="L69" s="23">
        <f>ROUND(L68-K69,1)</f>
        <v>111.3</v>
      </c>
      <c r="M69" s="23">
        <f t="shared" si="11"/>
        <v>10.3</v>
      </c>
      <c r="N69" s="23">
        <f t="shared" si="12"/>
        <v>10.5</v>
      </c>
      <c r="O69" s="23">
        <f t="shared" si="13"/>
        <v>0.3</v>
      </c>
      <c r="P69" s="23">
        <f t="shared" si="14"/>
        <v>0.9</v>
      </c>
      <c r="Q69" s="23"/>
      <c r="R69" s="23"/>
    </row>
    <row r="70" spans="1:18" x14ac:dyDescent="0.2">
      <c r="A70" s="25" t="s">
        <v>5</v>
      </c>
      <c r="B70" s="25">
        <v>12</v>
      </c>
      <c r="C70" s="25">
        <v>1</v>
      </c>
      <c r="D70" s="25" t="s">
        <v>55</v>
      </c>
      <c r="E70" s="25">
        <v>60</v>
      </c>
      <c r="F70" s="25">
        <v>1</v>
      </c>
      <c r="G70" s="25">
        <v>1</v>
      </c>
      <c r="H70" s="25">
        <v>38</v>
      </c>
      <c r="I70" s="25">
        <f>ROUND($B$6-H70,1)</f>
        <v>212</v>
      </c>
      <c r="J70" s="25">
        <f t="shared" si="10"/>
        <v>26</v>
      </c>
      <c r="K70" s="25">
        <v>38.799999999999997</v>
      </c>
      <c r="L70" s="25">
        <f>ROUND($B$6-K70,1)</f>
        <v>211.2</v>
      </c>
      <c r="M70" s="25">
        <f t="shared" si="11"/>
        <v>26.5</v>
      </c>
      <c r="N70" s="25">
        <f t="shared" si="12"/>
        <v>26.3</v>
      </c>
      <c r="O70" s="25">
        <f t="shared" si="13"/>
        <v>0.4</v>
      </c>
      <c r="P70" s="25">
        <f t="shared" si="14"/>
        <v>2.2000000000000002</v>
      </c>
      <c r="Q70" s="25">
        <f>ROUND(N70/N64*100,1)</f>
        <v>80.2</v>
      </c>
      <c r="R70" s="25">
        <f>ROUND(STDEV(J70/J64*100,M70/M64*100),1)</f>
        <v>0.6</v>
      </c>
    </row>
    <row r="71" spans="1:18" x14ac:dyDescent="0.2">
      <c r="A71" s="25" t="s">
        <v>5</v>
      </c>
      <c r="B71" s="25">
        <v>12</v>
      </c>
      <c r="C71" s="25">
        <v>1</v>
      </c>
      <c r="D71" s="25" t="s">
        <v>55</v>
      </c>
      <c r="E71" s="25">
        <v>120</v>
      </c>
      <c r="F71" s="25">
        <v>2</v>
      </c>
      <c r="G71" s="25">
        <v>1</v>
      </c>
      <c r="H71" s="25">
        <v>40</v>
      </c>
      <c r="I71" s="25">
        <f>ROUND(I70-H71,1)</f>
        <v>172</v>
      </c>
      <c r="J71" s="25">
        <f t="shared" si="10"/>
        <v>27.3</v>
      </c>
      <c r="K71" s="25">
        <v>39.5</v>
      </c>
      <c r="L71" s="25">
        <f>ROUND(L70-K71,1)</f>
        <v>171.7</v>
      </c>
      <c r="M71" s="25">
        <f t="shared" si="11"/>
        <v>27</v>
      </c>
      <c r="N71" s="25">
        <f t="shared" si="12"/>
        <v>27.2</v>
      </c>
      <c r="O71" s="25">
        <f t="shared" si="13"/>
        <v>0.2</v>
      </c>
      <c r="P71" s="25">
        <f t="shared" si="14"/>
        <v>2.2999999999999998</v>
      </c>
      <c r="Q71" s="25">
        <f>ROUND(N71/N64*100,1)</f>
        <v>82.9</v>
      </c>
      <c r="R71" s="25">
        <f>ROUND(STDEV(J71/J64*100,M71/M64*100),1)</f>
        <v>1.2</v>
      </c>
    </row>
    <row r="72" spans="1:18" x14ac:dyDescent="0.2">
      <c r="A72" s="21" t="s">
        <v>1</v>
      </c>
      <c r="B72" s="21">
        <v>30</v>
      </c>
      <c r="C72" s="21">
        <v>1</v>
      </c>
      <c r="D72" s="21" t="s">
        <v>39</v>
      </c>
      <c r="E72" s="21">
        <v>300</v>
      </c>
      <c r="F72" s="21">
        <v>5</v>
      </c>
      <c r="G72" s="21">
        <v>1</v>
      </c>
      <c r="H72" s="21">
        <v>47.6</v>
      </c>
      <c r="I72" s="21"/>
      <c r="J72" s="21">
        <f t="shared" si="10"/>
        <v>32.5</v>
      </c>
      <c r="K72" s="21">
        <v>48.6</v>
      </c>
      <c r="L72" s="21"/>
      <c r="M72" s="21">
        <f t="shared" si="11"/>
        <v>33.200000000000003</v>
      </c>
      <c r="N72" s="21">
        <f t="shared" si="12"/>
        <v>32.9</v>
      </c>
      <c r="O72" s="21">
        <f t="shared" si="13"/>
        <v>0.5</v>
      </c>
      <c r="P72" s="21">
        <f t="shared" si="14"/>
        <v>1.1000000000000001</v>
      </c>
      <c r="Q72" s="21"/>
      <c r="R72" s="21"/>
    </row>
    <row r="73" spans="1:18" x14ac:dyDescent="0.2">
      <c r="A73" s="23" t="s">
        <v>1</v>
      </c>
      <c r="B73" s="23">
        <v>30</v>
      </c>
      <c r="C73" s="23">
        <v>1</v>
      </c>
      <c r="D73" s="23" t="s">
        <v>42</v>
      </c>
      <c r="E73" s="23">
        <v>60</v>
      </c>
      <c r="F73" s="23">
        <v>1</v>
      </c>
      <c r="G73" s="23">
        <v>1</v>
      </c>
      <c r="H73" s="23">
        <v>42.5</v>
      </c>
      <c r="I73" s="23">
        <f>ROUND($B$6-H73,1)</f>
        <v>207.5</v>
      </c>
      <c r="J73" s="23">
        <f t="shared" si="10"/>
        <v>29</v>
      </c>
      <c r="K73" s="23">
        <v>42.1</v>
      </c>
      <c r="L73" s="23">
        <f>ROUND($B$6-K73,1)</f>
        <v>207.9</v>
      </c>
      <c r="M73" s="23">
        <f t="shared" si="11"/>
        <v>28.8</v>
      </c>
      <c r="N73" s="23">
        <f t="shared" si="12"/>
        <v>28.9</v>
      </c>
      <c r="O73" s="23">
        <f t="shared" si="13"/>
        <v>0.1</v>
      </c>
      <c r="P73" s="23">
        <f t="shared" si="14"/>
        <v>1</v>
      </c>
      <c r="Q73" s="23"/>
      <c r="R73" s="23"/>
    </row>
    <row r="74" spans="1:18" x14ac:dyDescent="0.2">
      <c r="A74" s="23" t="s">
        <v>1</v>
      </c>
      <c r="B74" s="23">
        <v>30</v>
      </c>
      <c r="C74" s="23">
        <v>1</v>
      </c>
      <c r="D74" s="23" t="s">
        <v>42</v>
      </c>
      <c r="E74" s="23">
        <v>120</v>
      </c>
      <c r="F74" s="23">
        <v>2</v>
      </c>
      <c r="G74" s="23">
        <v>1</v>
      </c>
      <c r="H74" s="23">
        <v>36.700000000000003</v>
      </c>
      <c r="I74" s="23">
        <f>ROUND(I73-H74,1)</f>
        <v>170.8</v>
      </c>
      <c r="J74" s="23">
        <f t="shared" si="10"/>
        <v>25.1</v>
      </c>
      <c r="K74" s="23">
        <v>37.299999999999997</v>
      </c>
      <c r="L74" s="23">
        <f>ROUND(L73-K74,1)</f>
        <v>170.6</v>
      </c>
      <c r="M74" s="23">
        <f t="shared" si="11"/>
        <v>25.5</v>
      </c>
      <c r="N74" s="23">
        <f t="shared" si="12"/>
        <v>25.3</v>
      </c>
      <c r="O74" s="23">
        <f t="shared" si="13"/>
        <v>0.3</v>
      </c>
      <c r="P74" s="23">
        <f t="shared" si="14"/>
        <v>0.8</v>
      </c>
      <c r="Q74" s="23"/>
      <c r="R74" s="23"/>
    </row>
    <row r="75" spans="1:18" x14ac:dyDescent="0.2">
      <c r="A75" s="23" t="s">
        <v>1</v>
      </c>
      <c r="B75" s="23">
        <v>30</v>
      </c>
      <c r="C75" s="23">
        <v>1</v>
      </c>
      <c r="D75" s="23" t="s">
        <v>42</v>
      </c>
      <c r="E75" s="23">
        <v>180</v>
      </c>
      <c r="F75" s="23">
        <v>3</v>
      </c>
      <c r="G75" s="23">
        <v>1</v>
      </c>
      <c r="H75" s="23">
        <v>34.5</v>
      </c>
      <c r="I75" s="23">
        <f>ROUND(I74-H75,1)</f>
        <v>136.30000000000001</v>
      </c>
      <c r="J75" s="23">
        <f t="shared" si="10"/>
        <v>23.6</v>
      </c>
      <c r="K75" s="23">
        <v>33.799999999999997</v>
      </c>
      <c r="L75" s="23">
        <f>ROUND(L74-K75,1)</f>
        <v>136.80000000000001</v>
      </c>
      <c r="M75" s="23">
        <f t="shared" si="11"/>
        <v>23.1</v>
      </c>
      <c r="N75" s="23">
        <f t="shared" si="12"/>
        <v>23.4</v>
      </c>
      <c r="O75" s="23">
        <f t="shared" si="13"/>
        <v>0.4</v>
      </c>
      <c r="P75" s="23">
        <f t="shared" si="14"/>
        <v>0.8</v>
      </c>
      <c r="Q75" s="23"/>
      <c r="R75" s="23"/>
    </row>
    <row r="76" spans="1:18" x14ac:dyDescent="0.2">
      <c r="A76" s="23" t="s">
        <v>1</v>
      </c>
      <c r="B76" s="23">
        <v>30</v>
      </c>
      <c r="C76" s="23">
        <v>1</v>
      </c>
      <c r="D76" s="23" t="s">
        <v>42</v>
      </c>
      <c r="E76" s="23">
        <v>240</v>
      </c>
      <c r="F76" s="23">
        <v>4</v>
      </c>
      <c r="G76" s="23">
        <v>1</v>
      </c>
      <c r="H76" s="23">
        <v>28.1</v>
      </c>
      <c r="I76" s="23">
        <f>ROUND(I75-H76,1)</f>
        <v>108.2</v>
      </c>
      <c r="J76" s="23">
        <f t="shared" si="10"/>
        <v>19.2</v>
      </c>
      <c r="K76" s="23">
        <v>28.9</v>
      </c>
      <c r="L76" s="23">
        <f>ROUND(L75-K76,1)</f>
        <v>107.9</v>
      </c>
      <c r="M76" s="23">
        <f t="shared" si="11"/>
        <v>19.7</v>
      </c>
      <c r="N76" s="23">
        <f t="shared" si="12"/>
        <v>19.5</v>
      </c>
      <c r="O76" s="23">
        <f t="shared" si="13"/>
        <v>0.4</v>
      </c>
      <c r="P76" s="23">
        <f t="shared" si="14"/>
        <v>0.7</v>
      </c>
      <c r="Q76" s="23"/>
      <c r="R76" s="23"/>
    </row>
    <row r="77" spans="1:18" x14ac:dyDescent="0.2">
      <c r="A77" s="23" t="s">
        <v>1</v>
      </c>
      <c r="B77" s="23">
        <v>30</v>
      </c>
      <c r="C77" s="23">
        <v>1</v>
      </c>
      <c r="D77" s="23" t="s">
        <v>42</v>
      </c>
      <c r="E77" s="23">
        <v>300</v>
      </c>
      <c r="F77" s="23">
        <v>5</v>
      </c>
      <c r="G77" s="23">
        <v>1</v>
      </c>
      <c r="H77" s="23">
        <v>26.2</v>
      </c>
      <c r="I77" s="23">
        <f>ROUND(I76-H77,1)</f>
        <v>82</v>
      </c>
      <c r="J77" s="23">
        <f t="shared" si="10"/>
        <v>17.899999999999999</v>
      </c>
      <c r="K77" s="23">
        <v>25.2</v>
      </c>
      <c r="L77" s="23">
        <f>ROUND(L76-K77,1)</f>
        <v>82.7</v>
      </c>
      <c r="M77" s="23">
        <f t="shared" si="11"/>
        <v>17.2</v>
      </c>
      <c r="N77" s="23">
        <f t="shared" si="12"/>
        <v>17.600000000000001</v>
      </c>
      <c r="O77" s="23">
        <f t="shared" si="13"/>
        <v>0.5</v>
      </c>
      <c r="P77" s="23">
        <f t="shared" si="14"/>
        <v>0.6</v>
      </c>
      <c r="Q77" s="23"/>
      <c r="R77" s="23"/>
    </row>
    <row r="78" spans="1:18" x14ac:dyDescent="0.2">
      <c r="A78" s="25" t="s">
        <v>1</v>
      </c>
      <c r="B78" s="25">
        <v>30</v>
      </c>
      <c r="C78" s="25">
        <v>1</v>
      </c>
      <c r="D78" s="25" t="s">
        <v>55</v>
      </c>
      <c r="E78" s="25">
        <v>60</v>
      </c>
      <c r="F78" s="25">
        <v>1</v>
      </c>
      <c r="G78" s="25">
        <v>1</v>
      </c>
      <c r="H78" s="25">
        <v>39.1</v>
      </c>
      <c r="I78" s="25">
        <f>ROUND($B$6-H78,1)</f>
        <v>210.9</v>
      </c>
      <c r="J78" s="25">
        <f t="shared" si="10"/>
        <v>26.7</v>
      </c>
      <c r="K78" s="25">
        <v>39.700000000000003</v>
      </c>
      <c r="L78" s="25">
        <f>ROUND($B$6-K78,1)</f>
        <v>210.3</v>
      </c>
      <c r="M78" s="25">
        <f t="shared" si="11"/>
        <v>27.1</v>
      </c>
      <c r="N78" s="25">
        <f t="shared" si="12"/>
        <v>26.9</v>
      </c>
      <c r="O78" s="25">
        <f t="shared" si="13"/>
        <v>0.3</v>
      </c>
      <c r="P78" s="25">
        <f t="shared" si="14"/>
        <v>0.9</v>
      </c>
      <c r="Q78" s="25">
        <f>ROUND(N78/N72*100,1)</f>
        <v>81.8</v>
      </c>
      <c r="R78" s="25">
        <f>ROUND(STDEV(J78/J72*100,M78/M72*100),1)</f>
        <v>0.4</v>
      </c>
    </row>
    <row r="79" spans="1:18" x14ac:dyDescent="0.2">
      <c r="A79" s="25" t="s">
        <v>1</v>
      </c>
      <c r="B79" s="25">
        <v>30</v>
      </c>
      <c r="C79" s="25">
        <v>1</v>
      </c>
      <c r="D79" s="25" t="s">
        <v>55</v>
      </c>
      <c r="E79" s="25">
        <v>120</v>
      </c>
      <c r="F79" s="25">
        <v>2</v>
      </c>
      <c r="G79" s="25">
        <v>1</v>
      </c>
      <c r="H79" s="25">
        <v>41.2</v>
      </c>
      <c r="I79" s="25">
        <f>ROUND(I78-H79,1)</f>
        <v>169.7</v>
      </c>
      <c r="J79" s="25">
        <f t="shared" si="10"/>
        <v>28.1</v>
      </c>
      <c r="K79" s="25">
        <v>40.5</v>
      </c>
      <c r="L79" s="25">
        <f>ROUND(L78-K79,1)</f>
        <v>169.8</v>
      </c>
      <c r="M79" s="25">
        <f t="shared" si="11"/>
        <v>27.7</v>
      </c>
      <c r="N79" s="25">
        <f t="shared" si="12"/>
        <v>27.9</v>
      </c>
      <c r="O79" s="25">
        <f t="shared" si="13"/>
        <v>0.3</v>
      </c>
      <c r="P79" s="25">
        <f t="shared" si="14"/>
        <v>0.9</v>
      </c>
      <c r="Q79" s="25">
        <f>ROUND(N79/N72*100,1)</f>
        <v>84.8</v>
      </c>
      <c r="R79" s="25">
        <f>ROUND(STDEV(J79/J72*100,M79/M72*100),1)</f>
        <v>2.1</v>
      </c>
    </row>
    <row r="80" spans="1:18" x14ac:dyDescent="0.2">
      <c r="A80" s="21" t="s">
        <v>0</v>
      </c>
      <c r="B80" s="21">
        <v>30</v>
      </c>
      <c r="C80" s="21">
        <v>1</v>
      </c>
      <c r="D80" s="21" t="s">
        <v>39</v>
      </c>
      <c r="E80" s="21">
        <v>300</v>
      </c>
      <c r="F80" s="21">
        <v>5</v>
      </c>
      <c r="G80" s="21">
        <v>1</v>
      </c>
      <c r="H80" s="21">
        <v>48</v>
      </c>
      <c r="I80" s="21"/>
      <c r="J80" s="21">
        <f t="shared" si="10"/>
        <v>32.799999999999997</v>
      </c>
      <c r="K80" s="21">
        <v>48.5</v>
      </c>
      <c r="L80" s="21"/>
      <c r="M80" s="21">
        <f t="shared" si="11"/>
        <v>33.1</v>
      </c>
      <c r="N80" s="21">
        <f t="shared" si="12"/>
        <v>33</v>
      </c>
      <c r="O80" s="21">
        <f t="shared" si="13"/>
        <v>0.2</v>
      </c>
      <c r="P80" s="21">
        <f t="shared" si="14"/>
        <v>1.1000000000000001</v>
      </c>
      <c r="Q80" s="21"/>
      <c r="R80" s="21"/>
    </row>
    <row r="81" spans="1:18" x14ac:dyDescent="0.2">
      <c r="A81" s="23" t="s">
        <v>0</v>
      </c>
      <c r="B81" s="23">
        <v>30</v>
      </c>
      <c r="C81" s="23">
        <v>1</v>
      </c>
      <c r="D81" s="23" t="s">
        <v>42</v>
      </c>
      <c r="E81" s="23">
        <v>60</v>
      </c>
      <c r="F81" s="23">
        <v>1</v>
      </c>
      <c r="G81" s="23">
        <v>1</v>
      </c>
      <c r="H81" s="23">
        <v>44.3</v>
      </c>
      <c r="I81" s="23">
        <f>ROUND($B$6-H81,1)</f>
        <v>205.7</v>
      </c>
      <c r="J81" s="23">
        <f t="shared" si="10"/>
        <v>30.3</v>
      </c>
      <c r="K81" s="23">
        <v>43.3</v>
      </c>
      <c r="L81" s="23">
        <f>ROUND($B$6-K81,1)</f>
        <v>206.7</v>
      </c>
      <c r="M81" s="23">
        <f t="shared" si="11"/>
        <v>29.6</v>
      </c>
      <c r="N81" s="23">
        <f t="shared" si="12"/>
        <v>30</v>
      </c>
      <c r="O81" s="23">
        <f t="shared" si="13"/>
        <v>0.5</v>
      </c>
      <c r="P81" s="23">
        <f t="shared" si="14"/>
        <v>1</v>
      </c>
      <c r="Q81" s="23"/>
      <c r="R81" s="23"/>
    </row>
    <row r="82" spans="1:18" x14ac:dyDescent="0.2">
      <c r="A82" s="23" t="s">
        <v>0</v>
      </c>
      <c r="B82" s="23">
        <v>30</v>
      </c>
      <c r="C82" s="23">
        <v>1</v>
      </c>
      <c r="D82" s="23" t="s">
        <v>42</v>
      </c>
      <c r="E82" s="23">
        <v>120</v>
      </c>
      <c r="F82" s="23">
        <v>2</v>
      </c>
      <c r="G82" s="23">
        <v>1</v>
      </c>
      <c r="H82" s="23">
        <v>39.700000000000003</v>
      </c>
      <c r="I82" s="23">
        <f>ROUND(I81-H82,1)</f>
        <v>166</v>
      </c>
      <c r="J82" s="23">
        <f t="shared" si="10"/>
        <v>27.1</v>
      </c>
      <c r="K82" s="23">
        <v>40.200000000000003</v>
      </c>
      <c r="L82" s="23">
        <f>ROUND(L81-K82,1)</f>
        <v>166.5</v>
      </c>
      <c r="M82" s="23">
        <f t="shared" si="11"/>
        <v>27.5</v>
      </c>
      <c r="N82" s="23">
        <f t="shared" si="12"/>
        <v>27.3</v>
      </c>
      <c r="O82" s="23">
        <f t="shared" si="13"/>
        <v>0.3</v>
      </c>
      <c r="P82" s="23">
        <f t="shared" si="14"/>
        <v>0.9</v>
      </c>
      <c r="Q82" s="23"/>
      <c r="R82" s="23"/>
    </row>
    <row r="83" spans="1:18" x14ac:dyDescent="0.2">
      <c r="A83" s="23" t="s">
        <v>0</v>
      </c>
      <c r="B83" s="23">
        <v>30</v>
      </c>
      <c r="C83" s="23">
        <v>1</v>
      </c>
      <c r="D83" s="23" t="s">
        <v>42</v>
      </c>
      <c r="E83" s="23">
        <v>180</v>
      </c>
      <c r="F83" s="23">
        <v>3</v>
      </c>
      <c r="G83" s="23">
        <v>1</v>
      </c>
      <c r="H83" s="23">
        <v>34.9</v>
      </c>
      <c r="I83" s="23">
        <f>ROUND(I82-H83,1)</f>
        <v>131.1</v>
      </c>
      <c r="J83" s="23">
        <f t="shared" si="10"/>
        <v>23.8</v>
      </c>
      <c r="K83" s="23">
        <v>34.299999999999997</v>
      </c>
      <c r="L83" s="23">
        <f>ROUND(L82-K83,1)</f>
        <v>132.19999999999999</v>
      </c>
      <c r="M83" s="23">
        <f t="shared" si="11"/>
        <v>23.4</v>
      </c>
      <c r="N83" s="23">
        <f t="shared" si="12"/>
        <v>23.6</v>
      </c>
      <c r="O83" s="23">
        <f t="shared" si="13"/>
        <v>0.3</v>
      </c>
      <c r="P83" s="23">
        <f t="shared" si="14"/>
        <v>0.8</v>
      </c>
      <c r="Q83" s="23"/>
      <c r="R83" s="23"/>
    </row>
    <row r="84" spans="1:18" x14ac:dyDescent="0.2">
      <c r="A84" s="23" t="s">
        <v>0</v>
      </c>
      <c r="B84" s="23">
        <v>30</v>
      </c>
      <c r="C84" s="23">
        <v>1</v>
      </c>
      <c r="D84" s="23" t="s">
        <v>42</v>
      </c>
      <c r="E84" s="23">
        <v>240</v>
      </c>
      <c r="F84" s="23">
        <v>4</v>
      </c>
      <c r="G84" s="23">
        <v>1</v>
      </c>
      <c r="H84" s="23">
        <v>31.9</v>
      </c>
      <c r="I84" s="23">
        <f>ROUND(I83-H84,1)</f>
        <v>99.2</v>
      </c>
      <c r="J84" s="23">
        <f t="shared" si="10"/>
        <v>21.8</v>
      </c>
      <c r="K84" s="23">
        <v>32.6</v>
      </c>
      <c r="L84" s="23">
        <f>ROUND(L83-K84,1)</f>
        <v>99.6</v>
      </c>
      <c r="M84" s="23">
        <f t="shared" si="11"/>
        <v>22.3</v>
      </c>
      <c r="N84" s="23">
        <f t="shared" si="12"/>
        <v>22.1</v>
      </c>
      <c r="O84" s="23">
        <f t="shared" si="13"/>
        <v>0.4</v>
      </c>
      <c r="P84" s="23">
        <f t="shared" si="14"/>
        <v>0.7</v>
      </c>
      <c r="Q84" s="23"/>
      <c r="R84" s="23"/>
    </row>
    <row r="85" spans="1:18" x14ac:dyDescent="0.2">
      <c r="A85" s="23" t="s">
        <v>0</v>
      </c>
      <c r="B85" s="23">
        <v>30</v>
      </c>
      <c r="C85" s="23">
        <v>1</v>
      </c>
      <c r="D85" s="23" t="s">
        <v>42</v>
      </c>
      <c r="E85" s="23">
        <v>300</v>
      </c>
      <c r="F85" s="23">
        <v>5</v>
      </c>
      <c r="G85" s="23">
        <v>1</v>
      </c>
      <c r="H85" s="23">
        <v>30.5</v>
      </c>
      <c r="I85" s="23">
        <f>ROUND(I84-H85,1)</f>
        <v>68.7</v>
      </c>
      <c r="J85" s="23">
        <f t="shared" si="10"/>
        <v>20.8</v>
      </c>
      <c r="K85" s="23">
        <v>29.7</v>
      </c>
      <c r="L85" s="23">
        <f>ROUND(L84-K85,1)</f>
        <v>69.900000000000006</v>
      </c>
      <c r="M85" s="23">
        <f t="shared" si="11"/>
        <v>20.3</v>
      </c>
      <c r="N85" s="23">
        <f t="shared" si="12"/>
        <v>20.6</v>
      </c>
      <c r="O85" s="23">
        <f t="shared" si="13"/>
        <v>0.4</v>
      </c>
      <c r="P85" s="23">
        <f t="shared" si="14"/>
        <v>0.7</v>
      </c>
      <c r="Q85" s="23"/>
      <c r="R85" s="23"/>
    </row>
    <row r="86" spans="1:18" x14ac:dyDescent="0.2">
      <c r="A86" s="25" t="s">
        <v>0</v>
      </c>
      <c r="B86" s="25">
        <v>30</v>
      </c>
      <c r="C86" s="25">
        <v>1</v>
      </c>
      <c r="D86" s="25" t="s">
        <v>55</v>
      </c>
      <c r="E86" s="25">
        <v>60</v>
      </c>
      <c r="F86" s="25">
        <v>1</v>
      </c>
      <c r="G86" s="25">
        <v>1</v>
      </c>
      <c r="H86" s="25">
        <v>46.1</v>
      </c>
      <c r="I86" s="25">
        <f>ROUND($B$6-H86,1)</f>
        <v>203.9</v>
      </c>
      <c r="J86" s="25">
        <f t="shared" si="10"/>
        <v>31.5</v>
      </c>
      <c r="K86" s="25">
        <v>47</v>
      </c>
      <c r="L86" s="25">
        <f>ROUND($B$6-K86,1)</f>
        <v>203</v>
      </c>
      <c r="M86" s="25">
        <f t="shared" si="11"/>
        <v>32.1</v>
      </c>
      <c r="N86" s="25">
        <f t="shared" si="12"/>
        <v>31.8</v>
      </c>
      <c r="O86" s="25">
        <f t="shared" si="13"/>
        <v>0.4</v>
      </c>
      <c r="P86" s="25">
        <f t="shared" si="14"/>
        <v>1.1000000000000001</v>
      </c>
      <c r="Q86" s="25">
        <f>ROUND(N86/N80*100,1)</f>
        <v>96.4</v>
      </c>
      <c r="R86" s="25">
        <f>ROUND(STDEV(J86/J80*100,M86/M80*100),1)</f>
        <v>0.7</v>
      </c>
    </row>
    <row r="87" spans="1:18" x14ac:dyDescent="0.2">
      <c r="A87" s="25" t="s">
        <v>0</v>
      </c>
      <c r="B87" s="25">
        <v>30</v>
      </c>
      <c r="C87" s="25">
        <v>1</v>
      </c>
      <c r="D87" s="25" t="s">
        <v>55</v>
      </c>
      <c r="E87" s="25">
        <v>120</v>
      </c>
      <c r="F87" s="25">
        <v>2</v>
      </c>
      <c r="G87" s="25">
        <v>1</v>
      </c>
      <c r="H87" s="25">
        <v>47.6</v>
      </c>
      <c r="I87" s="25">
        <f>ROUND(I86-H87,1)</f>
        <v>156.30000000000001</v>
      </c>
      <c r="J87" s="25">
        <f t="shared" si="10"/>
        <v>32.5</v>
      </c>
      <c r="K87" s="25">
        <v>47</v>
      </c>
      <c r="L87" s="25">
        <f>ROUND(L86-K87,1)</f>
        <v>156</v>
      </c>
      <c r="M87" s="25">
        <f t="shared" si="11"/>
        <v>32.1</v>
      </c>
      <c r="N87" s="25">
        <f t="shared" si="12"/>
        <v>32.299999999999997</v>
      </c>
      <c r="O87" s="25">
        <f t="shared" si="13"/>
        <v>0.3</v>
      </c>
      <c r="P87" s="25">
        <f t="shared" si="14"/>
        <v>1.1000000000000001</v>
      </c>
      <c r="Q87" s="25">
        <f>ROUND(N87/N80*100,1)</f>
        <v>97.9</v>
      </c>
      <c r="R87" s="25">
        <f>ROUND(STDEV(J87/J80*100,M87/M80*100),1)</f>
        <v>1.5</v>
      </c>
    </row>
    <row r="88" spans="1:18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</row>
  </sheetData>
  <mergeCells count="3">
    <mergeCell ref="A62:R62"/>
    <mergeCell ref="A8:R8"/>
    <mergeCell ref="A35:R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0060-4DF5-8A43-B32B-1681A93C1942}">
  <dimension ref="A1:R89"/>
  <sheetViews>
    <sheetView topLeftCell="A57" zoomScale="75" workbookViewId="0">
      <selection activeCell="H31" sqref="H31"/>
    </sheetView>
  </sheetViews>
  <sheetFormatPr baseColWidth="10" defaultColWidth="8.83203125" defaultRowHeight="16" x14ac:dyDescent="0.2"/>
  <cols>
    <col min="1" max="1" width="14" style="17" customWidth="1"/>
    <col min="2" max="2" width="13" style="17" customWidth="1"/>
    <col min="3" max="3" width="12" style="17" customWidth="1"/>
    <col min="4" max="4" width="23" style="17" customWidth="1"/>
    <col min="5" max="5" width="11" style="17" customWidth="1"/>
    <col min="6" max="6" width="8" style="17" customWidth="1"/>
    <col min="7" max="7" width="9" style="17" customWidth="1"/>
    <col min="8" max="8" width="19" style="17" customWidth="1"/>
    <col min="9" max="9" width="20" style="17" customWidth="1"/>
    <col min="10" max="10" width="15" style="17" customWidth="1"/>
    <col min="11" max="11" width="19" style="17" customWidth="1"/>
    <col min="12" max="12" width="20" style="17" customWidth="1"/>
    <col min="13" max="13" width="15" style="17" customWidth="1"/>
    <col min="14" max="14" width="16" style="17" customWidth="1"/>
    <col min="15" max="15" width="13" style="17" customWidth="1"/>
    <col min="16" max="16" width="19" style="17" customWidth="1"/>
    <col min="17" max="17" width="14" style="17" customWidth="1"/>
    <col min="18" max="18" width="16" style="17" customWidth="1"/>
    <col min="19" max="16384" width="8.83203125" style="17"/>
  </cols>
  <sheetData>
    <row r="1" spans="1:18" x14ac:dyDescent="0.2">
      <c r="A1" s="32" t="s">
        <v>17</v>
      </c>
      <c r="B1" s="32" t="s">
        <v>18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2">
      <c r="A2" s="19" t="s">
        <v>21</v>
      </c>
      <c r="B2" s="18">
        <v>1.464E-3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x14ac:dyDescent="0.2">
      <c r="A3" s="19" t="s">
        <v>49</v>
      </c>
      <c r="B3" s="19">
        <v>12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x14ac:dyDescent="0.2">
      <c r="A4" s="19" t="s">
        <v>50</v>
      </c>
      <c r="B4" s="19">
        <v>30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x14ac:dyDescent="0.2">
      <c r="A5" s="19" t="s">
        <v>51</v>
      </c>
      <c r="B5" s="19">
        <v>2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 t="s">
        <v>22</v>
      </c>
      <c r="B6" s="19">
        <v>250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x14ac:dyDescent="0.2">
      <c r="A8" s="34" t="s">
        <v>70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</row>
    <row r="9" spans="1:18" ht="34" x14ac:dyDescent="0.2">
      <c r="A9" s="33" t="s">
        <v>19</v>
      </c>
      <c r="B9" s="33" t="s">
        <v>26</v>
      </c>
      <c r="C9" s="33" t="s">
        <v>53</v>
      </c>
      <c r="D9" s="33" t="s">
        <v>27</v>
      </c>
      <c r="E9" s="33" t="s">
        <v>28</v>
      </c>
      <c r="F9" s="33" t="s">
        <v>4</v>
      </c>
      <c r="G9" s="33" t="s">
        <v>29</v>
      </c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 t="s">
        <v>35</v>
      </c>
      <c r="N9" s="33" t="s">
        <v>36</v>
      </c>
      <c r="O9" s="33" t="s">
        <v>37</v>
      </c>
      <c r="P9" s="33" t="s">
        <v>38</v>
      </c>
      <c r="Q9" s="33" t="s">
        <v>54</v>
      </c>
      <c r="R9" s="33" t="s">
        <v>44</v>
      </c>
    </row>
    <row r="10" spans="1:18" x14ac:dyDescent="0.2">
      <c r="A10" s="21" t="s">
        <v>5</v>
      </c>
      <c r="B10" s="21">
        <v>12</v>
      </c>
      <c r="C10" s="21">
        <v>2</v>
      </c>
      <c r="D10" s="21" t="s">
        <v>39</v>
      </c>
      <c r="E10" s="21">
        <v>300</v>
      </c>
      <c r="F10" s="21">
        <v>5</v>
      </c>
      <c r="G10" s="21">
        <v>1</v>
      </c>
      <c r="H10" s="21">
        <v>48.1</v>
      </c>
      <c r="I10" s="21"/>
      <c r="J10" s="21">
        <f t="shared" ref="J10:J33" si="0">ROUND(H10/1000/$B$2/G10,1)</f>
        <v>32.9</v>
      </c>
      <c r="K10" s="21">
        <v>47.4</v>
      </c>
      <c r="L10" s="21"/>
      <c r="M10" s="21">
        <f t="shared" ref="M10:M33" si="1">ROUND(K10/1000/$B$2/G10,1)</f>
        <v>32.4</v>
      </c>
      <c r="N10" s="21">
        <f t="shared" ref="N10:N33" si="2">ROUND(AVERAGE(J10,M10),1)</f>
        <v>32.700000000000003</v>
      </c>
      <c r="O10" s="21">
        <f t="shared" ref="O10:O33" si="3">ROUND(STDEV(J10,M10),1)</f>
        <v>0.4</v>
      </c>
      <c r="P10" s="21">
        <f t="shared" ref="P10:P33" si="4">ROUND(N10/B10,1)</f>
        <v>2.7</v>
      </c>
      <c r="Q10" s="21"/>
      <c r="R10" s="21"/>
    </row>
    <row r="11" spans="1:18" x14ac:dyDescent="0.2">
      <c r="A11" s="23" t="s">
        <v>5</v>
      </c>
      <c r="B11" s="23">
        <v>12</v>
      </c>
      <c r="C11" s="23">
        <v>2</v>
      </c>
      <c r="D11" s="23" t="s">
        <v>42</v>
      </c>
      <c r="E11" s="23">
        <v>60</v>
      </c>
      <c r="F11" s="23">
        <v>1</v>
      </c>
      <c r="G11" s="23">
        <v>1</v>
      </c>
      <c r="H11" s="23">
        <v>41.9</v>
      </c>
      <c r="I11" s="23">
        <f>ROUND($B$6-H11,1)</f>
        <v>208.1</v>
      </c>
      <c r="J11" s="23">
        <f t="shared" si="0"/>
        <v>28.6</v>
      </c>
      <c r="K11" s="23">
        <v>42.7</v>
      </c>
      <c r="L11" s="23">
        <f>ROUND($B$6-K11,1)</f>
        <v>207.3</v>
      </c>
      <c r="M11" s="23">
        <f t="shared" si="1"/>
        <v>29.2</v>
      </c>
      <c r="N11" s="23">
        <f t="shared" si="2"/>
        <v>28.9</v>
      </c>
      <c r="O11" s="23">
        <f t="shared" si="3"/>
        <v>0.4</v>
      </c>
      <c r="P11" s="23">
        <f t="shared" si="4"/>
        <v>2.4</v>
      </c>
      <c r="Q11" s="23"/>
      <c r="R11" s="23"/>
    </row>
    <row r="12" spans="1:18" x14ac:dyDescent="0.2">
      <c r="A12" s="23" t="s">
        <v>5</v>
      </c>
      <c r="B12" s="23">
        <v>12</v>
      </c>
      <c r="C12" s="23">
        <v>2</v>
      </c>
      <c r="D12" s="23" t="s">
        <v>42</v>
      </c>
      <c r="E12" s="23">
        <v>120</v>
      </c>
      <c r="F12" s="23">
        <v>2</v>
      </c>
      <c r="G12" s="23">
        <v>1</v>
      </c>
      <c r="H12" s="23">
        <v>32.799999999999997</v>
      </c>
      <c r="I12" s="23">
        <f>ROUND(I11-H12,1)</f>
        <v>175.3</v>
      </c>
      <c r="J12" s="23">
        <f t="shared" si="0"/>
        <v>22.4</v>
      </c>
      <c r="K12" s="23">
        <v>32.299999999999997</v>
      </c>
      <c r="L12" s="23">
        <f>ROUND(L11-K12,1)</f>
        <v>175</v>
      </c>
      <c r="M12" s="23">
        <f t="shared" si="1"/>
        <v>22.1</v>
      </c>
      <c r="N12" s="23">
        <f t="shared" si="2"/>
        <v>22.3</v>
      </c>
      <c r="O12" s="23">
        <f t="shared" si="3"/>
        <v>0.2</v>
      </c>
      <c r="P12" s="23">
        <f t="shared" si="4"/>
        <v>1.9</v>
      </c>
      <c r="Q12" s="23"/>
      <c r="R12" s="23"/>
    </row>
    <row r="13" spans="1:18" x14ac:dyDescent="0.2">
      <c r="A13" s="23" t="s">
        <v>5</v>
      </c>
      <c r="B13" s="23">
        <v>12</v>
      </c>
      <c r="C13" s="23">
        <v>2</v>
      </c>
      <c r="D13" s="23" t="s">
        <v>42</v>
      </c>
      <c r="E13" s="23">
        <v>180</v>
      </c>
      <c r="F13" s="23">
        <v>3</v>
      </c>
      <c r="G13" s="23">
        <v>1</v>
      </c>
      <c r="H13" s="23">
        <v>27</v>
      </c>
      <c r="I13" s="23">
        <f>ROUND(I12-H13,1)</f>
        <v>148.30000000000001</v>
      </c>
      <c r="J13" s="23">
        <f t="shared" si="0"/>
        <v>18.399999999999999</v>
      </c>
      <c r="K13" s="23">
        <v>28.1</v>
      </c>
      <c r="L13" s="23">
        <f>ROUND(L12-K13,1)</f>
        <v>146.9</v>
      </c>
      <c r="M13" s="23">
        <f t="shared" si="1"/>
        <v>19.2</v>
      </c>
      <c r="N13" s="23">
        <f t="shared" si="2"/>
        <v>18.8</v>
      </c>
      <c r="O13" s="23">
        <f t="shared" si="3"/>
        <v>0.6</v>
      </c>
      <c r="P13" s="23">
        <f t="shared" si="4"/>
        <v>1.6</v>
      </c>
      <c r="Q13" s="23"/>
      <c r="R13" s="23"/>
    </row>
    <row r="14" spans="1:18" x14ac:dyDescent="0.2">
      <c r="A14" s="23" t="s">
        <v>5</v>
      </c>
      <c r="B14" s="23">
        <v>12</v>
      </c>
      <c r="C14" s="23">
        <v>2</v>
      </c>
      <c r="D14" s="23" t="s">
        <v>42</v>
      </c>
      <c r="E14" s="23">
        <v>240</v>
      </c>
      <c r="F14" s="23">
        <v>4</v>
      </c>
      <c r="G14" s="23">
        <v>1</v>
      </c>
      <c r="H14" s="23">
        <v>16.899999999999999</v>
      </c>
      <c r="I14" s="23">
        <f>ROUND(I13-H14,1)</f>
        <v>131.4</v>
      </c>
      <c r="J14" s="23">
        <f t="shared" si="0"/>
        <v>11.5</v>
      </c>
      <c r="K14" s="23">
        <v>16.399999999999999</v>
      </c>
      <c r="L14" s="23">
        <f>ROUND(L13-K14,1)</f>
        <v>130.5</v>
      </c>
      <c r="M14" s="23">
        <f t="shared" si="1"/>
        <v>11.2</v>
      </c>
      <c r="N14" s="23">
        <f t="shared" si="2"/>
        <v>11.4</v>
      </c>
      <c r="O14" s="23">
        <f t="shared" si="3"/>
        <v>0.2</v>
      </c>
      <c r="P14" s="23">
        <f t="shared" si="4"/>
        <v>1</v>
      </c>
      <c r="Q14" s="23"/>
      <c r="R14" s="23"/>
    </row>
    <row r="15" spans="1:18" x14ac:dyDescent="0.2">
      <c r="A15" s="23" t="s">
        <v>5</v>
      </c>
      <c r="B15" s="23">
        <v>12</v>
      </c>
      <c r="C15" s="23">
        <v>2</v>
      </c>
      <c r="D15" s="23" t="s">
        <v>42</v>
      </c>
      <c r="E15" s="23">
        <v>300</v>
      </c>
      <c r="F15" s="23">
        <v>5</v>
      </c>
      <c r="G15" s="23">
        <v>1</v>
      </c>
      <c r="H15" s="23">
        <v>12.5</v>
      </c>
      <c r="I15" s="23">
        <f>ROUND(I14-H15,1)</f>
        <v>118.9</v>
      </c>
      <c r="J15" s="23">
        <f t="shared" si="0"/>
        <v>8.5</v>
      </c>
      <c r="K15" s="23">
        <v>13.1</v>
      </c>
      <c r="L15" s="23">
        <f>ROUND(L14-K15,1)</f>
        <v>117.4</v>
      </c>
      <c r="M15" s="23">
        <f t="shared" si="1"/>
        <v>8.9</v>
      </c>
      <c r="N15" s="23">
        <f t="shared" si="2"/>
        <v>8.6999999999999993</v>
      </c>
      <c r="O15" s="23">
        <f t="shared" si="3"/>
        <v>0.3</v>
      </c>
      <c r="P15" s="23">
        <f t="shared" si="4"/>
        <v>0.7</v>
      </c>
      <c r="Q15" s="23"/>
      <c r="R15" s="23"/>
    </row>
    <row r="16" spans="1:18" x14ac:dyDescent="0.2">
      <c r="A16" s="25" t="s">
        <v>5</v>
      </c>
      <c r="B16" s="25">
        <v>12</v>
      </c>
      <c r="C16" s="25">
        <v>2</v>
      </c>
      <c r="D16" s="25" t="s">
        <v>55</v>
      </c>
      <c r="E16" s="25">
        <v>60</v>
      </c>
      <c r="F16" s="25">
        <v>1</v>
      </c>
      <c r="G16" s="25">
        <v>1</v>
      </c>
      <c r="H16" s="25">
        <v>15.1</v>
      </c>
      <c r="I16" s="25">
        <f>ROUND($B$6-H16,1)</f>
        <v>234.9</v>
      </c>
      <c r="J16" s="25">
        <f t="shared" si="0"/>
        <v>10.3</v>
      </c>
      <c r="K16" s="25">
        <v>14.4</v>
      </c>
      <c r="L16" s="25">
        <f>ROUND($B$6-K16,1)</f>
        <v>235.6</v>
      </c>
      <c r="M16" s="25">
        <f t="shared" si="1"/>
        <v>9.8000000000000007</v>
      </c>
      <c r="N16" s="25">
        <f t="shared" si="2"/>
        <v>10.1</v>
      </c>
      <c r="O16" s="25">
        <f t="shared" si="3"/>
        <v>0.4</v>
      </c>
      <c r="P16" s="25">
        <f t="shared" si="4"/>
        <v>0.8</v>
      </c>
      <c r="Q16" s="25">
        <f>ROUND(N16/N10*100,1)</f>
        <v>30.9</v>
      </c>
      <c r="R16" s="25">
        <f>ROUND(STDEV(J16/J10*100,M16/M10*100),1)</f>
        <v>0.7</v>
      </c>
    </row>
    <row r="17" spans="1:18" x14ac:dyDescent="0.2">
      <c r="A17" s="25" t="s">
        <v>5</v>
      </c>
      <c r="B17" s="25">
        <v>12</v>
      </c>
      <c r="C17" s="25">
        <v>2</v>
      </c>
      <c r="D17" s="25" t="s">
        <v>55</v>
      </c>
      <c r="E17" s="25">
        <v>120</v>
      </c>
      <c r="F17" s="25">
        <v>2</v>
      </c>
      <c r="G17" s="25">
        <v>1</v>
      </c>
      <c r="H17" s="25">
        <v>14.9</v>
      </c>
      <c r="I17" s="25">
        <f>ROUND(I16-H17,1)</f>
        <v>220</v>
      </c>
      <c r="J17" s="25">
        <f t="shared" si="0"/>
        <v>10.199999999999999</v>
      </c>
      <c r="K17" s="25">
        <v>15.7</v>
      </c>
      <c r="L17" s="25">
        <f>ROUND(L16-K17,1)</f>
        <v>219.9</v>
      </c>
      <c r="M17" s="25">
        <f t="shared" si="1"/>
        <v>10.7</v>
      </c>
      <c r="N17" s="25">
        <f t="shared" si="2"/>
        <v>10.5</v>
      </c>
      <c r="O17" s="25">
        <f t="shared" si="3"/>
        <v>0.4</v>
      </c>
      <c r="P17" s="25">
        <f t="shared" si="4"/>
        <v>0.9</v>
      </c>
      <c r="Q17" s="25">
        <f>ROUND(N17/N10*100,1)</f>
        <v>32.1</v>
      </c>
      <c r="R17" s="25">
        <f>ROUND(STDEV(J17/J10*100,M17/M10*100),1)</f>
        <v>1.4</v>
      </c>
    </row>
    <row r="18" spans="1:18" x14ac:dyDescent="0.2">
      <c r="A18" s="21" t="s">
        <v>1</v>
      </c>
      <c r="B18" s="21">
        <v>30</v>
      </c>
      <c r="C18" s="21">
        <v>2</v>
      </c>
      <c r="D18" s="21" t="s">
        <v>39</v>
      </c>
      <c r="E18" s="21">
        <v>300</v>
      </c>
      <c r="F18" s="21">
        <v>5</v>
      </c>
      <c r="G18" s="21">
        <v>1</v>
      </c>
      <c r="H18" s="21">
        <v>48.4</v>
      </c>
      <c r="I18" s="21"/>
      <c r="J18" s="21">
        <f t="shared" si="0"/>
        <v>33.1</v>
      </c>
      <c r="K18" s="21">
        <v>47.4</v>
      </c>
      <c r="L18" s="21"/>
      <c r="M18" s="21">
        <f t="shared" si="1"/>
        <v>32.4</v>
      </c>
      <c r="N18" s="21">
        <f t="shared" si="2"/>
        <v>32.799999999999997</v>
      </c>
      <c r="O18" s="21">
        <f t="shared" si="3"/>
        <v>0.5</v>
      </c>
      <c r="P18" s="21">
        <f t="shared" si="4"/>
        <v>1.1000000000000001</v>
      </c>
      <c r="Q18" s="21"/>
      <c r="R18" s="21"/>
    </row>
    <row r="19" spans="1:18" x14ac:dyDescent="0.2">
      <c r="A19" s="23" t="s">
        <v>1</v>
      </c>
      <c r="B19" s="23">
        <v>30</v>
      </c>
      <c r="C19" s="23">
        <v>2</v>
      </c>
      <c r="D19" s="23" t="s">
        <v>42</v>
      </c>
      <c r="E19" s="23">
        <v>60</v>
      </c>
      <c r="F19" s="23">
        <v>1</v>
      </c>
      <c r="G19" s="23">
        <v>1</v>
      </c>
      <c r="H19" s="23">
        <v>42</v>
      </c>
      <c r="I19" s="23">
        <f>ROUND($B$6-H19,1)</f>
        <v>208</v>
      </c>
      <c r="J19" s="23">
        <f t="shared" si="0"/>
        <v>28.7</v>
      </c>
      <c r="K19" s="23">
        <v>42.6</v>
      </c>
      <c r="L19" s="23">
        <f>ROUND($B$6-K19,1)</f>
        <v>207.4</v>
      </c>
      <c r="M19" s="23">
        <f t="shared" si="1"/>
        <v>29.1</v>
      </c>
      <c r="N19" s="23">
        <f t="shared" si="2"/>
        <v>28.9</v>
      </c>
      <c r="O19" s="23">
        <f t="shared" si="3"/>
        <v>0.3</v>
      </c>
      <c r="P19" s="23">
        <f t="shared" si="4"/>
        <v>1</v>
      </c>
      <c r="Q19" s="23"/>
      <c r="R19" s="23"/>
    </row>
    <row r="20" spans="1:18" x14ac:dyDescent="0.2">
      <c r="A20" s="23" t="s">
        <v>1</v>
      </c>
      <c r="B20" s="23">
        <v>30</v>
      </c>
      <c r="C20" s="23">
        <v>2</v>
      </c>
      <c r="D20" s="23" t="s">
        <v>42</v>
      </c>
      <c r="E20" s="23">
        <v>120</v>
      </c>
      <c r="F20" s="23">
        <v>2</v>
      </c>
      <c r="G20" s="23">
        <v>1</v>
      </c>
      <c r="H20" s="23">
        <v>37.5</v>
      </c>
      <c r="I20" s="23">
        <f>ROUND(I19-H20,1)</f>
        <v>170.5</v>
      </c>
      <c r="J20" s="23">
        <f t="shared" si="0"/>
        <v>25.6</v>
      </c>
      <c r="K20" s="23">
        <v>36.799999999999997</v>
      </c>
      <c r="L20" s="23">
        <f>ROUND(L19-K20,1)</f>
        <v>170.6</v>
      </c>
      <c r="M20" s="23">
        <f t="shared" si="1"/>
        <v>25.1</v>
      </c>
      <c r="N20" s="23">
        <f t="shared" si="2"/>
        <v>25.4</v>
      </c>
      <c r="O20" s="23">
        <f t="shared" si="3"/>
        <v>0.4</v>
      </c>
      <c r="P20" s="23">
        <f t="shared" si="4"/>
        <v>0.8</v>
      </c>
      <c r="Q20" s="23"/>
      <c r="R20" s="23"/>
    </row>
    <row r="21" spans="1:18" x14ac:dyDescent="0.2">
      <c r="A21" s="23" t="s">
        <v>1</v>
      </c>
      <c r="B21" s="23">
        <v>30</v>
      </c>
      <c r="C21" s="23">
        <v>2</v>
      </c>
      <c r="D21" s="23" t="s">
        <v>42</v>
      </c>
      <c r="E21" s="23">
        <v>180</v>
      </c>
      <c r="F21" s="23">
        <v>3</v>
      </c>
      <c r="G21" s="23">
        <v>1</v>
      </c>
      <c r="H21" s="23">
        <v>34.200000000000003</v>
      </c>
      <c r="I21" s="23">
        <f>ROUND(I20-H21,1)</f>
        <v>136.30000000000001</v>
      </c>
      <c r="J21" s="23">
        <f t="shared" si="0"/>
        <v>23.4</v>
      </c>
      <c r="K21" s="23">
        <v>34.700000000000003</v>
      </c>
      <c r="L21" s="23">
        <f>ROUND(L20-K21,1)</f>
        <v>135.9</v>
      </c>
      <c r="M21" s="23">
        <f t="shared" si="1"/>
        <v>23.7</v>
      </c>
      <c r="N21" s="23">
        <f t="shared" si="2"/>
        <v>23.6</v>
      </c>
      <c r="O21" s="23">
        <f t="shared" si="3"/>
        <v>0.2</v>
      </c>
      <c r="P21" s="23">
        <f t="shared" si="4"/>
        <v>0.8</v>
      </c>
      <c r="Q21" s="23"/>
      <c r="R21" s="23"/>
    </row>
    <row r="22" spans="1:18" x14ac:dyDescent="0.2">
      <c r="A22" s="23" t="s">
        <v>1</v>
      </c>
      <c r="B22" s="23">
        <v>30</v>
      </c>
      <c r="C22" s="23">
        <v>2</v>
      </c>
      <c r="D22" s="23" t="s">
        <v>42</v>
      </c>
      <c r="E22" s="23">
        <v>240</v>
      </c>
      <c r="F22" s="23">
        <v>4</v>
      </c>
      <c r="G22" s="23">
        <v>1</v>
      </c>
      <c r="H22" s="23">
        <v>29.5</v>
      </c>
      <c r="I22" s="23">
        <f>ROUND(I21-H22,1)</f>
        <v>106.8</v>
      </c>
      <c r="J22" s="23">
        <f t="shared" si="0"/>
        <v>20.2</v>
      </c>
      <c r="K22" s="23">
        <v>28.4</v>
      </c>
      <c r="L22" s="23">
        <f>ROUND(L21-K22,1)</f>
        <v>107.5</v>
      </c>
      <c r="M22" s="23">
        <f t="shared" si="1"/>
        <v>19.399999999999999</v>
      </c>
      <c r="N22" s="23">
        <f t="shared" si="2"/>
        <v>19.8</v>
      </c>
      <c r="O22" s="23">
        <f t="shared" si="3"/>
        <v>0.6</v>
      </c>
      <c r="P22" s="23">
        <f t="shared" si="4"/>
        <v>0.7</v>
      </c>
      <c r="Q22" s="23"/>
      <c r="R22" s="23"/>
    </row>
    <row r="23" spans="1:18" x14ac:dyDescent="0.2">
      <c r="A23" s="23" t="s">
        <v>1</v>
      </c>
      <c r="B23" s="23">
        <v>30</v>
      </c>
      <c r="C23" s="23">
        <v>2</v>
      </c>
      <c r="D23" s="23" t="s">
        <v>42</v>
      </c>
      <c r="E23" s="23">
        <v>300</v>
      </c>
      <c r="F23" s="23">
        <v>5</v>
      </c>
      <c r="G23" s="23">
        <v>1</v>
      </c>
      <c r="H23" s="23">
        <v>26</v>
      </c>
      <c r="I23" s="23">
        <f>ROUND(I22-H23,1)</f>
        <v>80.8</v>
      </c>
      <c r="J23" s="23">
        <f t="shared" si="0"/>
        <v>17.8</v>
      </c>
      <c r="K23" s="23">
        <v>26.4</v>
      </c>
      <c r="L23" s="23">
        <f>ROUND(L22-K23,1)</f>
        <v>81.099999999999994</v>
      </c>
      <c r="M23" s="23">
        <f t="shared" si="1"/>
        <v>18</v>
      </c>
      <c r="N23" s="23">
        <f t="shared" si="2"/>
        <v>17.899999999999999</v>
      </c>
      <c r="O23" s="23">
        <f t="shared" si="3"/>
        <v>0.1</v>
      </c>
      <c r="P23" s="23">
        <f t="shared" si="4"/>
        <v>0.6</v>
      </c>
      <c r="Q23" s="23"/>
      <c r="R23" s="23"/>
    </row>
    <row r="24" spans="1:18" x14ac:dyDescent="0.2">
      <c r="A24" s="25" t="s">
        <v>1</v>
      </c>
      <c r="B24" s="25">
        <v>30</v>
      </c>
      <c r="C24" s="25">
        <v>2</v>
      </c>
      <c r="D24" s="25" t="s">
        <v>55</v>
      </c>
      <c r="E24" s="25">
        <v>60</v>
      </c>
      <c r="F24" s="25">
        <v>1</v>
      </c>
      <c r="G24" s="25">
        <v>1</v>
      </c>
      <c r="H24" s="25">
        <v>28</v>
      </c>
      <c r="I24" s="25">
        <f>ROUND($B$6-H24,1)</f>
        <v>222</v>
      </c>
      <c r="J24" s="25">
        <f t="shared" si="0"/>
        <v>19.100000000000001</v>
      </c>
      <c r="K24" s="25">
        <v>27.5</v>
      </c>
      <c r="L24" s="25">
        <f>ROUND($B$6-K24,1)</f>
        <v>222.5</v>
      </c>
      <c r="M24" s="25">
        <f t="shared" si="1"/>
        <v>18.8</v>
      </c>
      <c r="N24" s="25">
        <f t="shared" si="2"/>
        <v>19</v>
      </c>
      <c r="O24" s="25">
        <f t="shared" si="3"/>
        <v>0.2</v>
      </c>
      <c r="P24" s="25">
        <f t="shared" si="4"/>
        <v>0.6</v>
      </c>
      <c r="Q24" s="25">
        <f>ROUND(N24/N18*100,1)</f>
        <v>57.9</v>
      </c>
      <c r="R24" s="25">
        <f>ROUND(STDEV(J24/J18*100,M24/M18*100),1)</f>
        <v>0.2</v>
      </c>
    </row>
    <row r="25" spans="1:18" x14ac:dyDescent="0.2">
      <c r="A25" s="25" t="s">
        <v>1</v>
      </c>
      <c r="B25" s="25">
        <v>30</v>
      </c>
      <c r="C25" s="25">
        <v>2</v>
      </c>
      <c r="D25" s="25" t="s">
        <v>55</v>
      </c>
      <c r="E25" s="25">
        <v>120</v>
      </c>
      <c r="F25" s="25">
        <v>2</v>
      </c>
      <c r="G25" s="25">
        <v>1</v>
      </c>
      <c r="H25" s="25">
        <v>28.4</v>
      </c>
      <c r="I25" s="25">
        <f>ROUND(I24-H25,1)</f>
        <v>193.6</v>
      </c>
      <c r="J25" s="25">
        <f t="shared" si="0"/>
        <v>19.399999999999999</v>
      </c>
      <c r="K25" s="25">
        <v>29.1</v>
      </c>
      <c r="L25" s="25">
        <f>ROUND(L24-K25,1)</f>
        <v>193.4</v>
      </c>
      <c r="M25" s="25">
        <f t="shared" si="1"/>
        <v>19.899999999999999</v>
      </c>
      <c r="N25" s="25">
        <f t="shared" si="2"/>
        <v>19.7</v>
      </c>
      <c r="O25" s="25">
        <f t="shared" si="3"/>
        <v>0.4</v>
      </c>
      <c r="P25" s="25">
        <f t="shared" si="4"/>
        <v>0.7</v>
      </c>
      <c r="Q25" s="25">
        <f>ROUND(N25/N18*100,1)</f>
        <v>60.1</v>
      </c>
      <c r="R25" s="25">
        <f>ROUND(STDEV(J25/J18*100,M25/M18*100),1)</f>
        <v>2</v>
      </c>
    </row>
    <row r="26" spans="1:18" x14ac:dyDescent="0.2">
      <c r="A26" s="21" t="s">
        <v>0</v>
      </c>
      <c r="B26" s="21">
        <v>30</v>
      </c>
      <c r="C26" s="21">
        <v>2</v>
      </c>
      <c r="D26" s="21" t="s">
        <v>39</v>
      </c>
      <c r="E26" s="21">
        <v>300</v>
      </c>
      <c r="F26" s="21">
        <v>5</v>
      </c>
      <c r="G26" s="21">
        <v>1</v>
      </c>
      <c r="H26" s="21">
        <v>48.5</v>
      </c>
      <c r="I26" s="21"/>
      <c r="J26" s="21">
        <f t="shared" si="0"/>
        <v>33.1</v>
      </c>
      <c r="K26" s="21">
        <v>47.7</v>
      </c>
      <c r="L26" s="21"/>
      <c r="M26" s="21">
        <f t="shared" si="1"/>
        <v>32.6</v>
      </c>
      <c r="N26" s="21">
        <f t="shared" si="2"/>
        <v>32.9</v>
      </c>
      <c r="O26" s="21">
        <f t="shared" si="3"/>
        <v>0.4</v>
      </c>
      <c r="P26" s="21">
        <f t="shared" si="4"/>
        <v>1.1000000000000001</v>
      </c>
      <c r="Q26" s="21"/>
      <c r="R26" s="21"/>
    </row>
    <row r="27" spans="1:18" x14ac:dyDescent="0.2">
      <c r="A27" s="23" t="s">
        <v>0</v>
      </c>
      <c r="B27" s="23">
        <v>30</v>
      </c>
      <c r="C27" s="23">
        <v>2</v>
      </c>
      <c r="D27" s="23" t="s">
        <v>42</v>
      </c>
      <c r="E27" s="23">
        <v>60</v>
      </c>
      <c r="F27" s="23">
        <v>1</v>
      </c>
      <c r="G27" s="23">
        <v>1</v>
      </c>
      <c r="H27" s="23">
        <v>43.3</v>
      </c>
      <c r="I27" s="23">
        <f>ROUND($B$6-H27,1)</f>
        <v>206.7</v>
      </c>
      <c r="J27" s="23">
        <f t="shared" si="0"/>
        <v>29.6</v>
      </c>
      <c r="K27" s="23">
        <v>44.2</v>
      </c>
      <c r="L27" s="23">
        <f>ROUND($B$6-K27,1)</f>
        <v>205.8</v>
      </c>
      <c r="M27" s="23">
        <f t="shared" si="1"/>
        <v>30.2</v>
      </c>
      <c r="N27" s="23">
        <f t="shared" si="2"/>
        <v>29.9</v>
      </c>
      <c r="O27" s="23">
        <f t="shared" si="3"/>
        <v>0.4</v>
      </c>
      <c r="P27" s="23">
        <f t="shared" si="4"/>
        <v>1</v>
      </c>
      <c r="Q27" s="23"/>
      <c r="R27" s="23"/>
    </row>
    <row r="28" spans="1:18" x14ac:dyDescent="0.2">
      <c r="A28" s="23" t="s">
        <v>0</v>
      </c>
      <c r="B28" s="23">
        <v>30</v>
      </c>
      <c r="C28" s="23">
        <v>2</v>
      </c>
      <c r="D28" s="23" t="s">
        <v>42</v>
      </c>
      <c r="E28" s="23">
        <v>120</v>
      </c>
      <c r="F28" s="23">
        <v>2</v>
      </c>
      <c r="G28" s="23">
        <v>1</v>
      </c>
      <c r="H28" s="23">
        <v>39.700000000000003</v>
      </c>
      <c r="I28" s="23">
        <f>ROUND(I27-H28,1)</f>
        <v>167</v>
      </c>
      <c r="J28" s="23">
        <f t="shared" si="0"/>
        <v>27.1</v>
      </c>
      <c r="K28" s="23">
        <v>39.1</v>
      </c>
      <c r="L28" s="23">
        <f>ROUND(L27-K28,1)</f>
        <v>166.7</v>
      </c>
      <c r="M28" s="23">
        <f t="shared" si="1"/>
        <v>26.7</v>
      </c>
      <c r="N28" s="23">
        <f t="shared" si="2"/>
        <v>26.9</v>
      </c>
      <c r="O28" s="23">
        <f t="shared" si="3"/>
        <v>0.3</v>
      </c>
      <c r="P28" s="23">
        <f t="shared" si="4"/>
        <v>0.9</v>
      </c>
      <c r="Q28" s="23"/>
      <c r="R28" s="23"/>
    </row>
    <row r="29" spans="1:18" x14ac:dyDescent="0.2">
      <c r="A29" s="23" t="s">
        <v>0</v>
      </c>
      <c r="B29" s="23">
        <v>30</v>
      </c>
      <c r="C29" s="23">
        <v>2</v>
      </c>
      <c r="D29" s="23" t="s">
        <v>42</v>
      </c>
      <c r="E29" s="23">
        <v>180</v>
      </c>
      <c r="F29" s="23">
        <v>3</v>
      </c>
      <c r="G29" s="23">
        <v>1</v>
      </c>
      <c r="H29" s="23">
        <v>32.9</v>
      </c>
      <c r="I29" s="23">
        <f>ROUND(I28-H29,1)</f>
        <v>134.1</v>
      </c>
      <c r="J29" s="23">
        <f t="shared" si="0"/>
        <v>22.5</v>
      </c>
      <c r="K29" s="23">
        <v>33.700000000000003</v>
      </c>
      <c r="L29" s="23">
        <f>ROUND(L28-K29,1)</f>
        <v>133</v>
      </c>
      <c r="M29" s="23">
        <f t="shared" si="1"/>
        <v>23</v>
      </c>
      <c r="N29" s="23">
        <f t="shared" si="2"/>
        <v>22.8</v>
      </c>
      <c r="O29" s="23">
        <f t="shared" si="3"/>
        <v>0.4</v>
      </c>
      <c r="P29" s="23">
        <f t="shared" si="4"/>
        <v>0.8</v>
      </c>
      <c r="Q29" s="23"/>
      <c r="R29" s="23"/>
    </row>
    <row r="30" spans="1:18" x14ac:dyDescent="0.2">
      <c r="A30" s="23" t="s">
        <v>0</v>
      </c>
      <c r="B30" s="23">
        <v>30</v>
      </c>
      <c r="C30" s="23">
        <v>2</v>
      </c>
      <c r="D30" s="23" t="s">
        <v>42</v>
      </c>
      <c r="E30" s="23">
        <v>240</v>
      </c>
      <c r="F30" s="23">
        <v>4</v>
      </c>
      <c r="G30" s="23">
        <v>1</v>
      </c>
      <c r="H30" s="23">
        <v>30.9</v>
      </c>
      <c r="I30" s="23">
        <f>ROUND(I29-H30,1)</f>
        <v>103.2</v>
      </c>
      <c r="J30" s="23">
        <f t="shared" si="0"/>
        <v>21.1</v>
      </c>
      <c r="K30" s="23">
        <v>30.4</v>
      </c>
      <c r="L30" s="23">
        <f>ROUND(L29-K30,1)</f>
        <v>102.6</v>
      </c>
      <c r="M30" s="23">
        <f t="shared" si="1"/>
        <v>20.8</v>
      </c>
      <c r="N30" s="23">
        <f t="shared" si="2"/>
        <v>21</v>
      </c>
      <c r="O30" s="23">
        <f t="shared" si="3"/>
        <v>0.2</v>
      </c>
      <c r="P30" s="23">
        <f t="shared" si="4"/>
        <v>0.7</v>
      </c>
      <c r="Q30" s="23"/>
      <c r="R30" s="23"/>
    </row>
    <row r="31" spans="1:18" x14ac:dyDescent="0.2">
      <c r="A31" s="23" t="s">
        <v>0</v>
      </c>
      <c r="B31" s="23">
        <v>30</v>
      </c>
      <c r="C31" s="23">
        <v>2</v>
      </c>
      <c r="D31" s="23" t="s">
        <v>42</v>
      </c>
      <c r="E31" s="23">
        <v>300</v>
      </c>
      <c r="F31" s="23">
        <v>5</v>
      </c>
      <c r="G31" s="23">
        <v>1</v>
      </c>
      <c r="H31" s="23">
        <v>27.6</v>
      </c>
      <c r="I31" s="23">
        <f>ROUND(I30-H31,1)</f>
        <v>75.599999999999994</v>
      </c>
      <c r="J31" s="23">
        <f t="shared" si="0"/>
        <v>18.899999999999999</v>
      </c>
      <c r="K31" s="23">
        <v>28.6</v>
      </c>
      <c r="L31" s="23">
        <f>ROUND(L30-K31,1)</f>
        <v>74</v>
      </c>
      <c r="M31" s="23">
        <f t="shared" si="1"/>
        <v>19.5</v>
      </c>
      <c r="N31" s="23">
        <f t="shared" si="2"/>
        <v>19.2</v>
      </c>
      <c r="O31" s="23">
        <f t="shared" si="3"/>
        <v>0.4</v>
      </c>
      <c r="P31" s="23">
        <f t="shared" si="4"/>
        <v>0.6</v>
      </c>
      <c r="Q31" s="23"/>
      <c r="R31" s="23"/>
    </row>
    <row r="32" spans="1:18" x14ac:dyDescent="0.2">
      <c r="A32" s="25" t="s">
        <v>0</v>
      </c>
      <c r="B32" s="25">
        <v>30</v>
      </c>
      <c r="C32" s="25">
        <v>2</v>
      </c>
      <c r="D32" s="25" t="s">
        <v>55</v>
      </c>
      <c r="E32" s="25">
        <v>60</v>
      </c>
      <c r="F32" s="25">
        <v>1</v>
      </c>
      <c r="G32" s="25">
        <v>1</v>
      </c>
      <c r="H32" s="25">
        <v>36</v>
      </c>
      <c r="I32" s="25">
        <f>ROUND($B$6-H32,1)</f>
        <v>214</v>
      </c>
      <c r="J32" s="25">
        <f t="shared" si="0"/>
        <v>24.6</v>
      </c>
      <c r="K32" s="25">
        <v>35.5</v>
      </c>
      <c r="L32" s="25">
        <f>ROUND($B$6-K32,1)</f>
        <v>214.5</v>
      </c>
      <c r="M32" s="25">
        <f t="shared" si="1"/>
        <v>24.2</v>
      </c>
      <c r="N32" s="25">
        <f t="shared" si="2"/>
        <v>24.4</v>
      </c>
      <c r="O32" s="25">
        <f t="shared" si="3"/>
        <v>0.3</v>
      </c>
      <c r="P32" s="25">
        <f t="shared" si="4"/>
        <v>0.8</v>
      </c>
      <c r="Q32" s="25">
        <f>ROUND(N32/N26*100,1)</f>
        <v>74.2</v>
      </c>
      <c r="R32" s="25">
        <f>ROUND(STDEV(J32/J26*100,M32/M26*100),1)</f>
        <v>0.1</v>
      </c>
    </row>
    <row r="33" spans="1:18" x14ac:dyDescent="0.2">
      <c r="A33" s="25" t="s">
        <v>0</v>
      </c>
      <c r="B33" s="25">
        <v>30</v>
      </c>
      <c r="C33" s="25">
        <v>2</v>
      </c>
      <c r="D33" s="25" t="s">
        <v>55</v>
      </c>
      <c r="E33" s="25">
        <v>120</v>
      </c>
      <c r="F33" s="25">
        <v>2</v>
      </c>
      <c r="G33" s="25">
        <v>1</v>
      </c>
      <c r="H33" s="25">
        <v>36.700000000000003</v>
      </c>
      <c r="I33" s="25">
        <f>ROUND(I32-H33,1)</f>
        <v>177.3</v>
      </c>
      <c r="J33" s="25">
        <f t="shared" si="0"/>
        <v>25.1</v>
      </c>
      <c r="K33" s="25">
        <v>37.299999999999997</v>
      </c>
      <c r="L33" s="25">
        <f>ROUND(L32-K33,1)</f>
        <v>177.2</v>
      </c>
      <c r="M33" s="25">
        <f t="shared" si="1"/>
        <v>25.5</v>
      </c>
      <c r="N33" s="25">
        <f t="shared" si="2"/>
        <v>25.3</v>
      </c>
      <c r="O33" s="25">
        <f t="shared" si="3"/>
        <v>0.3</v>
      </c>
      <c r="P33" s="25">
        <f t="shared" si="4"/>
        <v>0.8</v>
      </c>
      <c r="Q33" s="25">
        <f>ROUND(N33/N26*100,1)</f>
        <v>76.900000000000006</v>
      </c>
      <c r="R33" s="25">
        <f>ROUND(STDEV(J33/J26*100,M33/M26*100),1)</f>
        <v>1.7</v>
      </c>
    </row>
    <row r="34" spans="1:18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1:18" x14ac:dyDescent="0.2">
      <c r="A35" s="34" t="s">
        <v>71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 ht="34" x14ac:dyDescent="0.2">
      <c r="A36" s="33" t="s">
        <v>19</v>
      </c>
      <c r="B36" s="33" t="s">
        <v>26</v>
      </c>
      <c r="C36" s="33" t="s">
        <v>53</v>
      </c>
      <c r="D36" s="33" t="s">
        <v>27</v>
      </c>
      <c r="E36" s="33" t="s">
        <v>28</v>
      </c>
      <c r="F36" s="33" t="s">
        <v>4</v>
      </c>
      <c r="G36" s="33" t="s">
        <v>29</v>
      </c>
      <c r="H36" s="33" t="s">
        <v>30</v>
      </c>
      <c r="I36" s="33" t="s">
        <v>31</v>
      </c>
      <c r="J36" s="33" t="s">
        <v>32</v>
      </c>
      <c r="K36" s="33" t="s">
        <v>33</v>
      </c>
      <c r="L36" s="33" t="s">
        <v>34</v>
      </c>
      <c r="M36" s="33" t="s">
        <v>35</v>
      </c>
      <c r="N36" s="33" t="s">
        <v>36</v>
      </c>
      <c r="O36" s="33" t="s">
        <v>37</v>
      </c>
      <c r="P36" s="33" t="s">
        <v>38</v>
      </c>
      <c r="Q36" s="33" t="s">
        <v>54</v>
      </c>
      <c r="R36" s="33" t="s">
        <v>44</v>
      </c>
    </row>
    <row r="37" spans="1:18" x14ac:dyDescent="0.2">
      <c r="A37" s="21" t="s">
        <v>5</v>
      </c>
      <c r="B37" s="21">
        <v>12</v>
      </c>
      <c r="C37" s="21">
        <v>2</v>
      </c>
      <c r="D37" s="21" t="s">
        <v>39</v>
      </c>
      <c r="E37" s="21">
        <v>300</v>
      </c>
      <c r="F37" s="21">
        <v>5</v>
      </c>
      <c r="G37" s="21">
        <v>1</v>
      </c>
      <c r="H37" s="21">
        <v>47.5</v>
      </c>
      <c r="I37" s="21"/>
      <c r="J37" s="21">
        <f t="shared" ref="J37:J60" si="5">ROUND(H37/1000/$B$2/G37,1)</f>
        <v>32.4</v>
      </c>
      <c r="K37" s="21">
        <v>48.3</v>
      </c>
      <c r="L37" s="21"/>
      <c r="M37" s="21">
        <f t="shared" ref="M37:M60" si="6">ROUND(K37/1000/$B$2/G37,1)</f>
        <v>33</v>
      </c>
      <c r="N37" s="21">
        <f t="shared" ref="N37:N60" si="7">ROUND(AVERAGE(J37,M37),1)</f>
        <v>32.700000000000003</v>
      </c>
      <c r="O37" s="21">
        <f t="shared" ref="O37:O60" si="8">ROUND(STDEV(J37,M37),1)</f>
        <v>0.4</v>
      </c>
      <c r="P37" s="21">
        <f t="shared" ref="P37:P60" si="9">ROUND(N37/B37,1)</f>
        <v>2.7</v>
      </c>
      <c r="Q37" s="21"/>
      <c r="R37" s="21"/>
    </row>
    <row r="38" spans="1:18" x14ac:dyDescent="0.2">
      <c r="A38" s="23" t="s">
        <v>5</v>
      </c>
      <c r="B38" s="23">
        <v>12</v>
      </c>
      <c r="C38" s="23">
        <v>2</v>
      </c>
      <c r="D38" s="23" t="s">
        <v>42</v>
      </c>
      <c r="E38" s="23">
        <v>60</v>
      </c>
      <c r="F38" s="23">
        <v>1</v>
      </c>
      <c r="G38" s="23">
        <v>1</v>
      </c>
      <c r="H38" s="23">
        <v>42.9</v>
      </c>
      <c r="I38" s="23">
        <f>ROUND($B$6-H38,1)</f>
        <v>207.1</v>
      </c>
      <c r="J38" s="23">
        <f t="shared" si="5"/>
        <v>29.3</v>
      </c>
      <c r="K38" s="23">
        <v>41.9</v>
      </c>
      <c r="L38" s="23">
        <f>ROUND($B$6-K38,1)</f>
        <v>208.1</v>
      </c>
      <c r="M38" s="23">
        <f t="shared" si="6"/>
        <v>28.6</v>
      </c>
      <c r="N38" s="23">
        <f t="shared" si="7"/>
        <v>29</v>
      </c>
      <c r="O38" s="23">
        <f t="shared" si="8"/>
        <v>0.5</v>
      </c>
      <c r="P38" s="23">
        <f t="shared" si="9"/>
        <v>2.4</v>
      </c>
      <c r="Q38" s="23"/>
      <c r="R38" s="23"/>
    </row>
    <row r="39" spans="1:18" x14ac:dyDescent="0.2">
      <c r="A39" s="23" t="s">
        <v>5</v>
      </c>
      <c r="B39" s="23">
        <v>12</v>
      </c>
      <c r="C39" s="23">
        <v>2</v>
      </c>
      <c r="D39" s="23" t="s">
        <v>42</v>
      </c>
      <c r="E39" s="23">
        <v>120</v>
      </c>
      <c r="F39" s="23">
        <v>2</v>
      </c>
      <c r="G39" s="23">
        <v>1</v>
      </c>
      <c r="H39" s="23">
        <v>32.4</v>
      </c>
      <c r="I39" s="23">
        <f>ROUND(I38-H39,1)</f>
        <v>174.7</v>
      </c>
      <c r="J39" s="23">
        <f t="shared" si="5"/>
        <v>22.1</v>
      </c>
      <c r="K39" s="23">
        <v>33.1</v>
      </c>
      <c r="L39" s="23">
        <f>ROUND(L38-K39,1)</f>
        <v>175</v>
      </c>
      <c r="M39" s="23">
        <f t="shared" si="6"/>
        <v>22.6</v>
      </c>
      <c r="N39" s="23">
        <f t="shared" si="7"/>
        <v>22.4</v>
      </c>
      <c r="O39" s="23">
        <f t="shared" si="8"/>
        <v>0.4</v>
      </c>
      <c r="P39" s="23">
        <f t="shared" si="9"/>
        <v>1.9</v>
      </c>
      <c r="Q39" s="23"/>
      <c r="R39" s="23"/>
    </row>
    <row r="40" spans="1:18" x14ac:dyDescent="0.2">
      <c r="A40" s="23" t="s">
        <v>5</v>
      </c>
      <c r="B40" s="23">
        <v>12</v>
      </c>
      <c r="C40" s="23">
        <v>2</v>
      </c>
      <c r="D40" s="23" t="s">
        <v>42</v>
      </c>
      <c r="E40" s="23">
        <v>180</v>
      </c>
      <c r="F40" s="23">
        <v>3</v>
      </c>
      <c r="G40" s="23">
        <v>1</v>
      </c>
      <c r="H40" s="23">
        <v>28.2</v>
      </c>
      <c r="I40" s="23">
        <f>ROUND(I39-H40,1)</f>
        <v>146.5</v>
      </c>
      <c r="J40" s="23">
        <f t="shared" si="5"/>
        <v>19.3</v>
      </c>
      <c r="K40" s="23">
        <v>27.4</v>
      </c>
      <c r="L40" s="23">
        <f>ROUND(L39-K40,1)</f>
        <v>147.6</v>
      </c>
      <c r="M40" s="23">
        <f t="shared" si="6"/>
        <v>18.7</v>
      </c>
      <c r="N40" s="23">
        <f t="shared" si="7"/>
        <v>19</v>
      </c>
      <c r="O40" s="23">
        <f t="shared" si="8"/>
        <v>0.4</v>
      </c>
      <c r="P40" s="23">
        <f t="shared" si="9"/>
        <v>1.6</v>
      </c>
      <c r="Q40" s="23"/>
      <c r="R40" s="23"/>
    </row>
    <row r="41" spans="1:18" x14ac:dyDescent="0.2">
      <c r="A41" s="23" t="s">
        <v>5</v>
      </c>
      <c r="B41" s="23">
        <v>12</v>
      </c>
      <c r="C41" s="23">
        <v>2</v>
      </c>
      <c r="D41" s="23" t="s">
        <v>42</v>
      </c>
      <c r="E41" s="23">
        <v>240</v>
      </c>
      <c r="F41" s="23">
        <v>4</v>
      </c>
      <c r="G41" s="23">
        <v>1</v>
      </c>
      <c r="H41" s="23">
        <v>16.7</v>
      </c>
      <c r="I41" s="23">
        <f>ROUND(I40-H41,1)</f>
        <v>129.80000000000001</v>
      </c>
      <c r="J41" s="23">
        <f t="shared" si="5"/>
        <v>11.4</v>
      </c>
      <c r="K41" s="23">
        <v>17.2</v>
      </c>
      <c r="L41" s="23">
        <f>ROUND(L40-K41,1)</f>
        <v>130.4</v>
      </c>
      <c r="M41" s="23">
        <f t="shared" si="6"/>
        <v>11.7</v>
      </c>
      <c r="N41" s="23">
        <f t="shared" si="7"/>
        <v>11.6</v>
      </c>
      <c r="O41" s="23">
        <f t="shared" si="8"/>
        <v>0.2</v>
      </c>
      <c r="P41" s="23">
        <f t="shared" si="9"/>
        <v>1</v>
      </c>
      <c r="Q41" s="23"/>
      <c r="R41" s="23"/>
    </row>
    <row r="42" spans="1:18" x14ac:dyDescent="0.2">
      <c r="A42" s="23" t="s">
        <v>5</v>
      </c>
      <c r="B42" s="23">
        <v>12</v>
      </c>
      <c r="C42" s="23">
        <v>2</v>
      </c>
      <c r="D42" s="23" t="s">
        <v>42</v>
      </c>
      <c r="E42" s="23">
        <v>300</v>
      </c>
      <c r="F42" s="23">
        <v>5</v>
      </c>
      <c r="G42" s="23">
        <v>1</v>
      </c>
      <c r="H42" s="23">
        <v>13.7</v>
      </c>
      <c r="I42" s="23">
        <f>ROUND(I41-H42,1)</f>
        <v>116.1</v>
      </c>
      <c r="J42" s="23">
        <f t="shared" si="5"/>
        <v>9.4</v>
      </c>
      <c r="K42" s="23">
        <v>12.7</v>
      </c>
      <c r="L42" s="23">
        <f>ROUND(L41-K42,1)</f>
        <v>117.7</v>
      </c>
      <c r="M42" s="23">
        <f t="shared" si="6"/>
        <v>8.6999999999999993</v>
      </c>
      <c r="N42" s="23">
        <f t="shared" si="7"/>
        <v>9.1</v>
      </c>
      <c r="O42" s="23">
        <f t="shared" si="8"/>
        <v>0.5</v>
      </c>
      <c r="P42" s="23">
        <f t="shared" si="9"/>
        <v>0.8</v>
      </c>
      <c r="Q42" s="23"/>
      <c r="R42" s="23"/>
    </row>
    <row r="43" spans="1:18" x14ac:dyDescent="0.2">
      <c r="A43" s="25" t="s">
        <v>5</v>
      </c>
      <c r="B43" s="25">
        <v>12</v>
      </c>
      <c r="C43" s="25">
        <v>2</v>
      </c>
      <c r="D43" s="25" t="s">
        <v>55</v>
      </c>
      <c r="E43" s="25">
        <v>60</v>
      </c>
      <c r="F43" s="25">
        <v>1</v>
      </c>
      <c r="G43" s="25">
        <v>1</v>
      </c>
      <c r="H43" s="25">
        <v>22.9</v>
      </c>
      <c r="I43" s="25">
        <f>ROUND($B$6-H43,1)</f>
        <v>227.1</v>
      </c>
      <c r="J43" s="25">
        <f t="shared" si="5"/>
        <v>15.6</v>
      </c>
      <c r="K43" s="25">
        <v>23.3</v>
      </c>
      <c r="L43" s="25">
        <f>ROUND($B$6-K43,1)</f>
        <v>226.7</v>
      </c>
      <c r="M43" s="25">
        <f t="shared" si="6"/>
        <v>15.9</v>
      </c>
      <c r="N43" s="25">
        <f t="shared" si="7"/>
        <v>15.8</v>
      </c>
      <c r="O43" s="25">
        <f t="shared" si="8"/>
        <v>0.2</v>
      </c>
      <c r="P43" s="25">
        <f t="shared" si="9"/>
        <v>1.3</v>
      </c>
      <c r="Q43" s="25">
        <f>ROUND(N43/N37*100,1)</f>
        <v>48.3</v>
      </c>
      <c r="R43" s="25">
        <f>ROUND(STDEV(J43/J37*100,M43/M37*100),1)</f>
        <v>0</v>
      </c>
    </row>
    <row r="44" spans="1:18" x14ac:dyDescent="0.2">
      <c r="A44" s="25" t="s">
        <v>5</v>
      </c>
      <c r="B44" s="25">
        <v>12</v>
      </c>
      <c r="C44" s="25">
        <v>2</v>
      </c>
      <c r="D44" s="25" t="s">
        <v>55</v>
      </c>
      <c r="E44" s="25">
        <v>120</v>
      </c>
      <c r="F44" s="25">
        <v>2</v>
      </c>
      <c r="G44" s="25">
        <v>1</v>
      </c>
      <c r="H44" s="25">
        <v>24.2</v>
      </c>
      <c r="I44" s="25">
        <f>ROUND(I43-H44,1)</f>
        <v>202.9</v>
      </c>
      <c r="J44" s="25">
        <f t="shared" si="5"/>
        <v>16.5</v>
      </c>
      <c r="K44" s="25">
        <v>23.7</v>
      </c>
      <c r="L44" s="25">
        <f>ROUND(L43-K44,1)</f>
        <v>203</v>
      </c>
      <c r="M44" s="25">
        <f t="shared" si="6"/>
        <v>16.2</v>
      </c>
      <c r="N44" s="25">
        <f t="shared" si="7"/>
        <v>16.399999999999999</v>
      </c>
      <c r="O44" s="25">
        <f t="shared" si="8"/>
        <v>0.2</v>
      </c>
      <c r="P44" s="25">
        <f t="shared" si="9"/>
        <v>1.4</v>
      </c>
      <c r="Q44" s="25">
        <f>ROUND(N44/N37*100,1)</f>
        <v>50.2</v>
      </c>
      <c r="R44" s="25">
        <f>ROUND(STDEV(J44/J37*100,M44/M37*100),1)</f>
        <v>1.3</v>
      </c>
    </row>
    <row r="45" spans="1:18" x14ac:dyDescent="0.2">
      <c r="A45" s="21" t="s">
        <v>1</v>
      </c>
      <c r="B45" s="21">
        <v>30</v>
      </c>
      <c r="C45" s="21">
        <v>2</v>
      </c>
      <c r="D45" s="21" t="s">
        <v>39</v>
      </c>
      <c r="E45" s="21">
        <v>300</v>
      </c>
      <c r="F45" s="21">
        <v>5</v>
      </c>
      <c r="G45" s="21">
        <v>1</v>
      </c>
      <c r="H45" s="21">
        <v>47.7</v>
      </c>
      <c r="I45" s="21"/>
      <c r="J45" s="21">
        <f t="shared" si="5"/>
        <v>32.6</v>
      </c>
      <c r="K45" s="21">
        <v>48.4</v>
      </c>
      <c r="L45" s="21"/>
      <c r="M45" s="21">
        <f t="shared" si="6"/>
        <v>33.1</v>
      </c>
      <c r="N45" s="21">
        <f t="shared" si="7"/>
        <v>32.9</v>
      </c>
      <c r="O45" s="21">
        <f t="shared" si="8"/>
        <v>0.4</v>
      </c>
      <c r="P45" s="21">
        <f t="shared" si="9"/>
        <v>1.1000000000000001</v>
      </c>
      <c r="Q45" s="21"/>
      <c r="R45" s="21"/>
    </row>
    <row r="46" spans="1:18" x14ac:dyDescent="0.2">
      <c r="A46" s="23" t="s">
        <v>1</v>
      </c>
      <c r="B46" s="23">
        <v>30</v>
      </c>
      <c r="C46" s="23">
        <v>2</v>
      </c>
      <c r="D46" s="23" t="s">
        <v>42</v>
      </c>
      <c r="E46" s="23">
        <v>60</v>
      </c>
      <c r="F46" s="23">
        <v>1</v>
      </c>
      <c r="G46" s="23">
        <v>1</v>
      </c>
      <c r="H46" s="23">
        <v>42.8</v>
      </c>
      <c r="I46" s="23">
        <f>ROUND($B$6-H46,1)</f>
        <v>207.2</v>
      </c>
      <c r="J46" s="23">
        <f t="shared" si="5"/>
        <v>29.2</v>
      </c>
      <c r="K46" s="23">
        <v>42</v>
      </c>
      <c r="L46" s="23">
        <f>ROUND($B$6-K46,1)</f>
        <v>208</v>
      </c>
      <c r="M46" s="23">
        <f t="shared" si="6"/>
        <v>28.7</v>
      </c>
      <c r="N46" s="23">
        <f t="shared" si="7"/>
        <v>29</v>
      </c>
      <c r="O46" s="23">
        <f t="shared" si="8"/>
        <v>0.4</v>
      </c>
      <c r="P46" s="23">
        <f t="shared" si="9"/>
        <v>1</v>
      </c>
      <c r="Q46" s="23"/>
      <c r="R46" s="23"/>
    </row>
    <row r="47" spans="1:18" x14ac:dyDescent="0.2">
      <c r="A47" s="23" t="s">
        <v>1</v>
      </c>
      <c r="B47" s="23">
        <v>30</v>
      </c>
      <c r="C47" s="23">
        <v>2</v>
      </c>
      <c r="D47" s="23" t="s">
        <v>42</v>
      </c>
      <c r="E47" s="23">
        <v>120</v>
      </c>
      <c r="F47" s="23">
        <v>2</v>
      </c>
      <c r="G47" s="23">
        <v>1</v>
      </c>
      <c r="H47" s="23">
        <v>36.799999999999997</v>
      </c>
      <c r="I47" s="23">
        <f>ROUND(I46-H47,1)</f>
        <v>170.4</v>
      </c>
      <c r="J47" s="23">
        <f t="shared" si="5"/>
        <v>25.1</v>
      </c>
      <c r="K47" s="23">
        <v>37.799999999999997</v>
      </c>
      <c r="L47" s="23">
        <f>ROUND(L46-K47,1)</f>
        <v>170.2</v>
      </c>
      <c r="M47" s="23">
        <f t="shared" si="6"/>
        <v>25.8</v>
      </c>
      <c r="N47" s="23">
        <f t="shared" si="7"/>
        <v>25.5</v>
      </c>
      <c r="O47" s="23">
        <f t="shared" si="8"/>
        <v>0.5</v>
      </c>
      <c r="P47" s="23">
        <f t="shared" si="9"/>
        <v>0.9</v>
      </c>
      <c r="Q47" s="23"/>
      <c r="R47" s="23"/>
    </row>
    <row r="48" spans="1:18" x14ac:dyDescent="0.2">
      <c r="A48" s="23" t="s">
        <v>1</v>
      </c>
      <c r="B48" s="23">
        <v>30</v>
      </c>
      <c r="C48" s="23">
        <v>2</v>
      </c>
      <c r="D48" s="23" t="s">
        <v>42</v>
      </c>
      <c r="E48" s="23">
        <v>180</v>
      </c>
      <c r="F48" s="23">
        <v>3</v>
      </c>
      <c r="G48" s="23">
        <v>1</v>
      </c>
      <c r="H48" s="23">
        <v>34.9</v>
      </c>
      <c r="I48" s="23">
        <f>ROUND(I47-H48,1)</f>
        <v>135.5</v>
      </c>
      <c r="J48" s="23">
        <f t="shared" si="5"/>
        <v>23.8</v>
      </c>
      <c r="K48" s="23">
        <v>34.299999999999997</v>
      </c>
      <c r="L48" s="23">
        <f>ROUND(L47-K48,1)</f>
        <v>135.9</v>
      </c>
      <c r="M48" s="23">
        <f t="shared" si="6"/>
        <v>23.4</v>
      </c>
      <c r="N48" s="23">
        <f t="shared" si="7"/>
        <v>23.6</v>
      </c>
      <c r="O48" s="23">
        <f t="shared" si="8"/>
        <v>0.3</v>
      </c>
      <c r="P48" s="23">
        <f t="shared" si="9"/>
        <v>0.8</v>
      </c>
      <c r="Q48" s="23"/>
      <c r="R48" s="23"/>
    </row>
    <row r="49" spans="1:18" x14ac:dyDescent="0.2">
      <c r="A49" s="23" t="s">
        <v>1</v>
      </c>
      <c r="B49" s="23">
        <v>30</v>
      </c>
      <c r="C49" s="23">
        <v>2</v>
      </c>
      <c r="D49" s="23" t="s">
        <v>42</v>
      </c>
      <c r="E49" s="23">
        <v>240</v>
      </c>
      <c r="F49" s="23">
        <v>4</v>
      </c>
      <c r="G49" s="23">
        <v>1</v>
      </c>
      <c r="H49" s="23">
        <v>28.9</v>
      </c>
      <c r="I49" s="23">
        <f>ROUND(I48-H49,1)</f>
        <v>106.6</v>
      </c>
      <c r="J49" s="23">
        <f t="shared" si="5"/>
        <v>19.7</v>
      </c>
      <c r="K49" s="23">
        <v>29.6</v>
      </c>
      <c r="L49" s="23">
        <f>ROUND(L48-K49,1)</f>
        <v>106.3</v>
      </c>
      <c r="M49" s="23">
        <f t="shared" si="6"/>
        <v>20.2</v>
      </c>
      <c r="N49" s="23">
        <f t="shared" si="7"/>
        <v>20</v>
      </c>
      <c r="O49" s="23">
        <f t="shared" si="8"/>
        <v>0.4</v>
      </c>
      <c r="P49" s="23">
        <f t="shared" si="9"/>
        <v>0.7</v>
      </c>
      <c r="Q49" s="23"/>
      <c r="R49" s="23"/>
    </row>
    <row r="50" spans="1:18" x14ac:dyDescent="0.2">
      <c r="A50" s="23" t="s">
        <v>1</v>
      </c>
      <c r="B50" s="23">
        <v>30</v>
      </c>
      <c r="C50" s="23">
        <v>2</v>
      </c>
      <c r="D50" s="23" t="s">
        <v>42</v>
      </c>
      <c r="E50" s="23">
        <v>300</v>
      </c>
      <c r="F50" s="23">
        <v>5</v>
      </c>
      <c r="G50" s="23">
        <v>1</v>
      </c>
      <c r="H50" s="23">
        <v>26.8</v>
      </c>
      <c r="I50" s="23">
        <f>ROUND(I49-H50,1)</f>
        <v>79.8</v>
      </c>
      <c r="J50" s="23">
        <f t="shared" si="5"/>
        <v>18.3</v>
      </c>
      <c r="K50" s="23">
        <v>26.3</v>
      </c>
      <c r="L50" s="23">
        <f>ROUND(L49-K50,1)</f>
        <v>80</v>
      </c>
      <c r="M50" s="23">
        <f t="shared" si="6"/>
        <v>18</v>
      </c>
      <c r="N50" s="23">
        <f t="shared" si="7"/>
        <v>18.2</v>
      </c>
      <c r="O50" s="23">
        <f t="shared" si="8"/>
        <v>0.2</v>
      </c>
      <c r="P50" s="23">
        <f t="shared" si="9"/>
        <v>0.6</v>
      </c>
      <c r="Q50" s="23"/>
      <c r="R50" s="23"/>
    </row>
    <row r="51" spans="1:18" x14ac:dyDescent="0.2">
      <c r="A51" s="25" t="s">
        <v>1</v>
      </c>
      <c r="B51" s="25">
        <v>30</v>
      </c>
      <c r="C51" s="25">
        <v>2</v>
      </c>
      <c r="D51" s="25" t="s">
        <v>55</v>
      </c>
      <c r="E51" s="25">
        <v>60</v>
      </c>
      <c r="F51" s="25">
        <v>1</v>
      </c>
      <c r="G51" s="25">
        <v>1</v>
      </c>
      <c r="H51" s="25">
        <v>35.6</v>
      </c>
      <c r="I51" s="25">
        <f>ROUND($B$6-H51,1)</f>
        <v>214.4</v>
      </c>
      <c r="J51" s="25">
        <f t="shared" si="5"/>
        <v>24.3</v>
      </c>
      <c r="K51" s="25">
        <v>36.700000000000003</v>
      </c>
      <c r="L51" s="25">
        <f>ROUND($B$6-K51,1)</f>
        <v>213.3</v>
      </c>
      <c r="M51" s="25">
        <f t="shared" si="6"/>
        <v>25.1</v>
      </c>
      <c r="N51" s="25">
        <f t="shared" si="7"/>
        <v>24.7</v>
      </c>
      <c r="O51" s="25">
        <f t="shared" si="8"/>
        <v>0.6</v>
      </c>
      <c r="P51" s="25">
        <f t="shared" si="9"/>
        <v>0.8</v>
      </c>
      <c r="Q51" s="25">
        <f>ROUND(N51/N45*100,1)</f>
        <v>75.099999999999994</v>
      </c>
      <c r="R51" s="25">
        <f>ROUND(STDEV(J51/J45*100,M51/M45*100),1)</f>
        <v>0.9</v>
      </c>
    </row>
    <row r="52" spans="1:18" x14ac:dyDescent="0.2">
      <c r="A52" s="25" t="s">
        <v>1</v>
      </c>
      <c r="B52" s="25">
        <v>30</v>
      </c>
      <c r="C52" s="25">
        <v>2</v>
      </c>
      <c r="D52" s="25" t="s">
        <v>55</v>
      </c>
      <c r="E52" s="25">
        <v>120</v>
      </c>
      <c r="F52" s="25">
        <v>2</v>
      </c>
      <c r="G52" s="25">
        <v>1</v>
      </c>
      <c r="H52" s="25">
        <v>37.700000000000003</v>
      </c>
      <c r="I52" s="25">
        <f>ROUND(I51-H52,1)</f>
        <v>176.7</v>
      </c>
      <c r="J52" s="25">
        <f t="shared" si="5"/>
        <v>25.8</v>
      </c>
      <c r="K52" s="25">
        <v>37.299999999999997</v>
      </c>
      <c r="L52" s="25">
        <f>ROUND(L51-K52,1)</f>
        <v>176</v>
      </c>
      <c r="M52" s="25">
        <f t="shared" si="6"/>
        <v>25.5</v>
      </c>
      <c r="N52" s="25">
        <f t="shared" si="7"/>
        <v>25.7</v>
      </c>
      <c r="O52" s="25">
        <f t="shared" si="8"/>
        <v>0.2</v>
      </c>
      <c r="P52" s="25">
        <f t="shared" si="9"/>
        <v>0.9</v>
      </c>
      <c r="Q52" s="25">
        <f>ROUND(N52/N45*100,1)</f>
        <v>78.099999999999994</v>
      </c>
      <c r="R52" s="25">
        <f>ROUND(STDEV(J52/J45*100,M52/M45*100),1)</f>
        <v>1.5</v>
      </c>
    </row>
    <row r="53" spans="1:18" x14ac:dyDescent="0.2">
      <c r="A53" s="21" t="s">
        <v>0</v>
      </c>
      <c r="B53" s="21">
        <v>30</v>
      </c>
      <c r="C53" s="21">
        <v>2</v>
      </c>
      <c r="D53" s="21" t="s">
        <v>39</v>
      </c>
      <c r="E53" s="21">
        <v>300</v>
      </c>
      <c r="F53" s="21">
        <v>5</v>
      </c>
      <c r="G53" s="21">
        <v>1</v>
      </c>
      <c r="H53" s="21">
        <v>47.9</v>
      </c>
      <c r="I53" s="21"/>
      <c r="J53" s="21">
        <f t="shared" si="5"/>
        <v>32.700000000000003</v>
      </c>
      <c r="K53" s="21">
        <v>48.5</v>
      </c>
      <c r="L53" s="21"/>
      <c r="M53" s="21">
        <f t="shared" si="6"/>
        <v>33.1</v>
      </c>
      <c r="N53" s="21">
        <f t="shared" si="7"/>
        <v>32.9</v>
      </c>
      <c r="O53" s="21">
        <f t="shared" si="8"/>
        <v>0.3</v>
      </c>
      <c r="P53" s="21">
        <f t="shared" si="9"/>
        <v>1.1000000000000001</v>
      </c>
      <c r="Q53" s="21"/>
      <c r="R53" s="21"/>
    </row>
    <row r="54" spans="1:18" x14ac:dyDescent="0.2">
      <c r="A54" s="23" t="s">
        <v>0</v>
      </c>
      <c r="B54" s="23">
        <v>30</v>
      </c>
      <c r="C54" s="23">
        <v>2</v>
      </c>
      <c r="D54" s="23" t="s">
        <v>42</v>
      </c>
      <c r="E54" s="23">
        <v>60</v>
      </c>
      <c r="F54" s="23">
        <v>1</v>
      </c>
      <c r="G54" s="23">
        <v>1</v>
      </c>
      <c r="H54" s="23">
        <v>44.2</v>
      </c>
      <c r="I54" s="23">
        <f>ROUND($B$6-H54,1)</f>
        <v>205.8</v>
      </c>
      <c r="J54" s="23">
        <f t="shared" si="5"/>
        <v>30.2</v>
      </c>
      <c r="K54" s="23">
        <v>43.5</v>
      </c>
      <c r="L54" s="23">
        <f>ROUND($B$6-K54,1)</f>
        <v>206.5</v>
      </c>
      <c r="M54" s="23">
        <f t="shared" si="6"/>
        <v>29.7</v>
      </c>
      <c r="N54" s="23">
        <f t="shared" si="7"/>
        <v>30</v>
      </c>
      <c r="O54" s="23">
        <f t="shared" si="8"/>
        <v>0.4</v>
      </c>
      <c r="P54" s="23">
        <f t="shared" si="9"/>
        <v>1</v>
      </c>
      <c r="Q54" s="23"/>
      <c r="R54" s="23"/>
    </row>
    <row r="55" spans="1:18" x14ac:dyDescent="0.2">
      <c r="A55" s="23" t="s">
        <v>0</v>
      </c>
      <c r="B55" s="23">
        <v>30</v>
      </c>
      <c r="C55" s="23">
        <v>2</v>
      </c>
      <c r="D55" s="23" t="s">
        <v>42</v>
      </c>
      <c r="E55" s="23">
        <v>120</v>
      </c>
      <c r="F55" s="23">
        <v>2</v>
      </c>
      <c r="G55" s="23">
        <v>1</v>
      </c>
      <c r="H55" s="23">
        <v>39.1</v>
      </c>
      <c r="I55" s="23">
        <f>ROUND(I54-H55,1)</f>
        <v>166.7</v>
      </c>
      <c r="J55" s="23">
        <f t="shared" si="5"/>
        <v>26.7</v>
      </c>
      <c r="K55" s="23">
        <v>40</v>
      </c>
      <c r="L55" s="23">
        <f>ROUND(L54-K55,1)</f>
        <v>166.5</v>
      </c>
      <c r="M55" s="23">
        <f t="shared" si="6"/>
        <v>27.3</v>
      </c>
      <c r="N55" s="23">
        <f t="shared" si="7"/>
        <v>27</v>
      </c>
      <c r="O55" s="23">
        <f t="shared" si="8"/>
        <v>0.4</v>
      </c>
      <c r="P55" s="23">
        <f t="shared" si="9"/>
        <v>0.9</v>
      </c>
      <c r="Q55" s="23"/>
      <c r="R55" s="23"/>
    </row>
    <row r="56" spans="1:18" x14ac:dyDescent="0.2">
      <c r="A56" s="23" t="s">
        <v>0</v>
      </c>
      <c r="B56" s="23">
        <v>30</v>
      </c>
      <c r="C56" s="23">
        <v>2</v>
      </c>
      <c r="D56" s="23" t="s">
        <v>42</v>
      </c>
      <c r="E56" s="23">
        <v>180</v>
      </c>
      <c r="F56" s="23">
        <v>3</v>
      </c>
      <c r="G56" s="23">
        <v>1</v>
      </c>
      <c r="H56" s="23">
        <v>34</v>
      </c>
      <c r="I56" s="23">
        <f>ROUND(I55-H56,1)</f>
        <v>132.69999999999999</v>
      </c>
      <c r="J56" s="23">
        <f t="shared" si="5"/>
        <v>23.2</v>
      </c>
      <c r="K56" s="23">
        <v>33.1</v>
      </c>
      <c r="L56" s="23">
        <f>ROUND(L55-K56,1)</f>
        <v>133.4</v>
      </c>
      <c r="M56" s="23">
        <f t="shared" si="6"/>
        <v>22.6</v>
      </c>
      <c r="N56" s="23">
        <f t="shared" si="7"/>
        <v>22.9</v>
      </c>
      <c r="O56" s="23">
        <f t="shared" si="8"/>
        <v>0.4</v>
      </c>
      <c r="P56" s="23">
        <f t="shared" si="9"/>
        <v>0.8</v>
      </c>
      <c r="Q56" s="23"/>
      <c r="R56" s="23"/>
    </row>
    <row r="57" spans="1:18" x14ac:dyDescent="0.2">
      <c r="A57" s="23" t="s">
        <v>0</v>
      </c>
      <c r="B57" s="23">
        <v>30</v>
      </c>
      <c r="C57" s="23">
        <v>2</v>
      </c>
      <c r="D57" s="23" t="s">
        <v>42</v>
      </c>
      <c r="E57" s="23">
        <v>240</v>
      </c>
      <c r="F57" s="23">
        <v>4</v>
      </c>
      <c r="G57" s="23">
        <v>1</v>
      </c>
      <c r="H57" s="23">
        <v>30.6</v>
      </c>
      <c r="I57" s="23">
        <f>ROUND(I56-H57,1)</f>
        <v>102.1</v>
      </c>
      <c r="J57" s="23">
        <f t="shared" si="5"/>
        <v>20.9</v>
      </c>
      <c r="K57" s="23">
        <v>31.2</v>
      </c>
      <c r="L57" s="23">
        <f>ROUND(L56-K57,1)</f>
        <v>102.2</v>
      </c>
      <c r="M57" s="23">
        <f t="shared" si="6"/>
        <v>21.3</v>
      </c>
      <c r="N57" s="23">
        <f t="shared" si="7"/>
        <v>21.1</v>
      </c>
      <c r="O57" s="23">
        <f t="shared" si="8"/>
        <v>0.3</v>
      </c>
      <c r="P57" s="23">
        <f t="shared" si="9"/>
        <v>0.7</v>
      </c>
      <c r="Q57" s="23"/>
      <c r="R57" s="23"/>
    </row>
    <row r="58" spans="1:18" x14ac:dyDescent="0.2">
      <c r="A58" s="23" t="s">
        <v>0</v>
      </c>
      <c r="B58" s="23">
        <v>30</v>
      </c>
      <c r="C58" s="23">
        <v>2</v>
      </c>
      <c r="D58" s="23" t="s">
        <v>42</v>
      </c>
      <c r="E58" s="23">
        <v>300</v>
      </c>
      <c r="F58" s="23">
        <v>5</v>
      </c>
      <c r="G58" s="23">
        <v>1</v>
      </c>
      <c r="H58" s="23">
        <v>28.8</v>
      </c>
      <c r="I58" s="23">
        <f>ROUND(I57-H58,1)</f>
        <v>73.3</v>
      </c>
      <c r="J58" s="23">
        <f t="shared" si="5"/>
        <v>19.7</v>
      </c>
      <c r="K58" s="23">
        <v>28.1</v>
      </c>
      <c r="L58" s="23">
        <f>ROUND(L57-K58,1)</f>
        <v>74.099999999999994</v>
      </c>
      <c r="M58" s="23">
        <f t="shared" si="6"/>
        <v>19.2</v>
      </c>
      <c r="N58" s="23">
        <f t="shared" si="7"/>
        <v>19.5</v>
      </c>
      <c r="O58" s="23">
        <f t="shared" si="8"/>
        <v>0.4</v>
      </c>
      <c r="P58" s="23">
        <f t="shared" si="9"/>
        <v>0.7</v>
      </c>
      <c r="Q58" s="23"/>
      <c r="R58" s="23"/>
    </row>
    <row r="59" spans="1:18" x14ac:dyDescent="0.2">
      <c r="A59" s="25" t="s">
        <v>0</v>
      </c>
      <c r="B59" s="25">
        <v>30</v>
      </c>
      <c r="C59" s="25">
        <v>2</v>
      </c>
      <c r="D59" s="25" t="s">
        <v>55</v>
      </c>
      <c r="E59" s="25">
        <v>60</v>
      </c>
      <c r="F59" s="25">
        <v>1</v>
      </c>
      <c r="G59" s="25">
        <v>1</v>
      </c>
      <c r="H59" s="25">
        <v>41.2</v>
      </c>
      <c r="I59" s="25">
        <f>ROUND($B$6-H59,1)</f>
        <v>208.8</v>
      </c>
      <c r="J59" s="25">
        <f t="shared" si="5"/>
        <v>28.1</v>
      </c>
      <c r="K59" s="25">
        <v>41.7</v>
      </c>
      <c r="L59" s="25">
        <f>ROUND($B$6-K59,1)</f>
        <v>208.3</v>
      </c>
      <c r="M59" s="25">
        <f t="shared" si="6"/>
        <v>28.5</v>
      </c>
      <c r="N59" s="25">
        <f t="shared" si="7"/>
        <v>28.3</v>
      </c>
      <c r="O59" s="25">
        <f t="shared" si="8"/>
        <v>0.3</v>
      </c>
      <c r="P59" s="25">
        <f t="shared" si="9"/>
        <v>0.9</v>
      </c>
      <c r="Q59" s="25">
        <f>ROUND(N59/N53*100,1)</f>
        <v>86</v>
      </c>
      <c r="R59" s="25">
        <f>ROUND(STDEV(J59/J53*100,M59/M53*100),1)</f>
        <v>0.1</v>
      </c>
    </row>
    <row r="60" spans="1:18" x14ac:dyDescent="0.2">
      <c r="A60" s="25" t="s">
        <v>0</v>
      </c>
      <c r="B60" s="25">
        <v>30</v>
      </c>
      <c r="C60" s="25">
        <v>2</v>
      </c>
      <c r="D60" s="25" t="s">
        <v>55</v>
      </c>
      <c r="E60" s="25">
        <v>120</v>
      </c>
      <c r="F60" s="25">
        <v>2</v>
      </c>
      <c r="G60" s="25">
        <v>1</v>
      </c>
      <c r="H60" s="25">
        <v>43.4</v>
      </c>
      <c r="I60" s="25">
        <f>ROUND(I59-H60,1)</f>
        <v>165.4</v>
      </c>
      <c r="J60" s="25">
        <f t="shared" si="5"/>
        <v>29.6</v>
      </c>
      <c r="K60" s="25">
        <v>42.4</v>
      </c>
      <c r="L60" s="25">
        <f>ROUND(L59-K60,1)</f>
        <v>165.9</v>
      </c>
      <c r="M60" s="25">
        <f t="shared" si="6"/>
        <v>29</v>
      </c>
      <c r="N60" s="25">
        <f t="shared" si="7"/>
        <v>29.3</v>
      </c>
      <c r="O60" s="25">
        <f t="shared" si="8"/>
        <v>0.4</v>
      </c>
      <c r="P60" s="25">
        <f t="shared" si="9"/>
        <v>1</v>
      </c>
      <c r="Q60" s="25">
        <f>ROUND(N60/N53*100,1)</f>
        <v>89.1</v>
      </c>
      <c r="R60" s="25">
        <f>ROUND(STDEV(J60/J53*100,M60/M53*100),1)</f>
        <v>2.1</v>
      </c>
    </row>
    <row r="61" spans="1:18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spans="1:18" x14ac:dyDescent="0.2">
      <c r="A62" s="34" t="s">
        <v>72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1:18" ht="34" x14ac:dyDescent="0.2">
      <c r="A63" s="33" t="s">
        <v>19</v>
      </c>
      <c r="B63" s="33" t="s">
        <v>26</v>
      </c>
      <c r="C63" s="33" t="s">
        <v>53</v>
      </c>
      <c r="D63" s="33" t="s">
        <v>27</v>
      </c>
      <c r="E63" s="33" t="s">
        <v>28</v>
      </c>
      <c r="F63" s="33" t="s">
        <v>4</v>
      </c>
      <c r="G63" s="33" t="s">
        <v>29</v>
      </c>
      <c r="H63" s="33" t="s">
        <v>30</v>
      </c>
      <c r="I63" s="33" t="s">
        <v>31</v>
      </c>
      <c r="J63" s="33" t="s">
        <v>32</v>
      </c>
      <c r="K63" s="33" t="s">
        <v>33</v>
      </c>
      <c r="L63" s="33" t="s">
        <v>34</v>
      </c>
      <c r="M63" s="33" t="s">
        <v>35</v>
      </c>
      <c r="N63" s="33" t="s">
        <v>36</v>
      </c>
      <c r="O63" s="33" t="s">
        <v>37</v>
      </c>
      <c r="P63" s="33" t="s">
        <v>38</v>
      </c>
      <c r="Q63" s="33" t="s">
        <v>54</v>
      </c>
      <c r="R63" s="33" t="s">
        <v>44</v>
      </c>
    </row>
    <row r="64" spans="1:18" x14ac:dyDescent="0.2">
      <c r="A64" s="21" t="s">
        <v>5</v>
      </c>
      <c r="B64" s="21">
        <v>12</v>
      </c>
      <c r="C64" s="21">
        <v>2</v>
      </c>
      <c r="D64" s="21" t="s">
        <v>39</v>
      </c>
      <c r="E64" s="21">
        <v>300</v>
      </c>
      <c r="F64" s="21">
        <v>5</v>
      </c>
      <c r="G64" s="21">
        <v>1</v>
      </c>
      <c r="H64" s="21">
        <v>48.3</v>
      </c>
      <c r="I64" s="21"/>
      <c r="J64" s="21">
        <f t="shared" ref="J64:J87" si="10">ROUND(H64/1000/$B$2/G64,1)</f>
        <v>33</v>
      </c>
      <c r="K64" s="21">
        <v>47.7</v>
      </c>
      <c r="L64" s="21"/>
      <c r="M64" s="21">
        <f t="shared" ref="M64:M87" si="11">ROUND(K64/1000/$B$2/G64,1)</f>
        <v>32.6</v>
      </c>
      <c r="N64" s="21">
        <f t="shared" ref="N64:N87" si="12">ROUND(AVERAGE(J64,M64),1)</f>
        <v>32.799999999999997</v>
      </c>
      <c r="O64" s="21">
        <f t="shared" ref="O64:O87" si="13">ROUND(STDEV(J64,M64),1)</f>
        <v>0.3</v>
      </c>
      <c r="P64" s="21">
        <f t="shared" ref="P64:P87" si="14">ROUND(N64/B64,1)</f>
        <v>2.7</v>
      </c>
      <c r="Q64" s="21"/>
      <c r="R64" s="21"/>
    </row>
    <row r="65" spans="1:18" x14ac:dyDescent="0.2">
      <c r="A65" s="23" t="s">
        <v>5</v>
      </c>
      <c r="B65" s="23">
        <v>12</v>
      </c>
      <c r="C65" s="23">
        <v>2</v>
      </c>
      <c r="D65" s="23" t="s">
        <v>42</v>
      </c>
      <c r="E65" s="23">
        <v>60</v>
      </c>
      <c r="F65" s="23">
        <v>1</v>
      </c>
      <c r="G65" s="23">
        <v>1</v>
      </c>
      <c r="H65" s="23">
        <v>42.1</v>
      </c>
      <c r="I65" s="23">
        <f>ROUND($B$6-H65,1)</f>
        <v>207.9</v>
      </c>
      <c r="J65" s="23">
        <f t="shared" si="10"/>
        <v>28.8</v>
      </c>
      <c r="K65" s="23">
        <v>42.8</v>
      </c>
      <c r="L65" s="23">
        <f>ROUND($B$6-K65,1)</f>
        <v>207.2</v>
      </c>
      <c r="M65" s="23">
        <f t="shared" si="11"/>
        <v>29.2</v>
      </c>
      <c r="N65" s="23">
        <f t="shared" si="12"/>
        <v>29</v>
      </c>
      <c r="O65" s="23">
        <f t="shared" si="13"/>
        <v>0.3</v>
      </c>
      <c r="P65" s="23">
        <f t="shared" si="14"/>
        <v>2.4</v>
      </c>
      <c r="Q65" s="23"/>
      <c r="R65" s="23"/>
    </row>
    <row r="66" spans="1:18" x14ac:dyDescent="0.2">
      <c r="A66" s="23" t="s">
        <v>5</v>
      </c>
      <c r="B66" s="23">
        <v>12</v>
      </c>
      <c r="C66" s="23">
        <v>2</v>
      </c>
      <c r="D66" s="23" t="s">
        <v>42</v>
      </c>
      <c r="E66" s="23">
        <v>120</v>
      </c>
      <c r="F66" s="23">
        <v>2</v>
      </c>
      <c r="G66" s="23">
        <v>1</v>
      </c>
      <c r="H66" s="23">
        <v>33.299999999999997</v>
      </c>
      <c r="I66" s="23">
        <f>ROUND(I65-H66,1)</f>
        <v>174.6</v>
      </c>
      <c r="J66" s="23">
        <f t="shared" si="10"/>
        <v>22.7</v>
      </c>
      <c r="K66" s="23">
        <v>32.4</v>
      </c>
      <c r="L66" s="23">
        <f>ROUND(L65-K66,1)</f>
        <v>174.8</v>
      </c>
      <c r="M66" s="23">
        <f t="shared" si="11"/>
        <v>22.1</v>
      </c>
      <c r="N66" s="23">
        <f t="shared" si="12"/>
        <v>22.4</v>
      </c>
      <c r="O66" s="23">
        <f t="shared" si="13"/>
        <v>0.4</v>
      </c>
      <c r="P66" s="23">
        <f t="shared" si="14"/>
        <v>1.9</v>
      </c>
      <c r="Q66" s="23"/>
      <c r="R66" s="23"/>
    </row>
    <row r="67" spans="1:18" x14ac:dyDescent="0.2">
      <c r="A67" s="23" t="s">
        <v>5</v>
      </c>
      <c r="B67" s="23">
        <v>12</v>
      </c>
      <c r="C67" s="23">
        <v>2</v>
      </c>
      <c r="D67" s="23" t="s">
        <v>42</v>
      </c>
      <c r="E67" s="23">
        <v>180</v>
      </c>
      <c r="F67" s="23">
        <v>3</v>
      </c>
      <c r="G67" s="23">
        <v>1</v>
      </c>
      <c r="H67" s="23">
        <v>27.4</v>
      </c>
      <c r="I67" s="23">
        <f>ROUND(I66-H67,1)</f>
        <v>147.19999999999999</v>
      </c>
      <c r="J67" s="23">
        <f t="shared" si="10"/>
        <v>18.7</v>
      </c>
      <c r="K67" s="23">
        <v>28.4</v>
      </c>
      <c r="L67" s="23">
        <f>ROUND(L66-K67,1)</f>
        <v>146.4</v>
      </c>
      <c r="M67" s="23">
        <f t="shared" si="11"/>
        <v>19.399999999999999</v>
      </c>
      <c r="N67" s="23">
        <f t="shared" si="12"/>
        <v>19.100000000000001</v>
      </c>
      <c r="O67" s="23">
        <f t="shared" si="13"/>
        <v>0.5</v>
      </c>
      <c r="P67" s="23">
        <f t="shared" si="14"/>
        <v>1.6</v>
      </c>
      <c r="Q67" s="23"/>
      <c r="R67" s="23"/>
    </row>
    <row r="68" spans="1:18" x14ac:dyDescent="0.2">
      <c r="A68" s="23" t="s">
        <v>5</v>
      </c>
      <c r="B68" s="23">
        <v>12</v>
      </c>
      <c r="C68" s="23">
        <v>2</v>
      </c>
      <c r="D68" s="23" t="s">
        <v>42</v>
      </c>
      <c r="E68" s="23">
        <v>240</v>
      </c>
      <c r="F68" s="23">
        <v>4</v>
      </c>
      <c r="G68" s="23">
        <v>1</v>
      </c>
      <c r="H68" s="23">
        <v>17.399999999999999</v>
      </c>
      <c r="I68" s="23">
        <f>ROUND(I67-H68,1)</f>
        <v>129.80000000000001</v>
      </c>
      <c r="J68" s="23">
        <f t="shared" si="10"/>
        <v>11.9</v>
      </c>
      <c r="K68" s="23">
        <v>16.8</v>
      </c>
      <c r="L68" s="23">
        <f>ROUND(L67-K68,1)</f>
        <v>129.6</v>
      </c>
      <c r="M68" s="23">
        <f t="shared" si="11"/>
        <v>11.5</v>
      </c>
      <c r="N68" s="23">
        <f t="shared" si="12"/>
        <v>11.7</v>
      </c>
      <c r="O68" s="23">
        <f t="shared" si="13"/>
        <v>0.3</v>
      </c>
      <c r="P68" s="23">
        <f t="shared" si="14"/>
        <v>1</v>
      </c>
      <c r="Q68" s="23"/>
      <c r="R68" s="23"/>
    </row>
    <row r="69" spans="1:18" x14ac:dyDescent="0.2">
      <c r="A69" s="23" t="s">
        <v>5</v>
      </c>
      <c r="B69" s="23">
        <v>12</v>
      </c>
      <c r="C69" s="23">
        <v>2</v>
      </c>
      <c r="D69" s="23" t="s">
        <v>42</v>
      </c>
      <c r="E69" s="23">
        <v>300</v>
      </c>
      <c r="F69" s="23">
        <v>5</v>
      </c>
      <c r="G69" s="23">
        <v>1</v>
      </c>
      <c r="H69" s="23">
        <v>12.9</v>
      </c>
      <c r="I69" s="23">
        <f>ROUND(I68-H69,1)</f>
        <v>116.9</v>
      </c>
      <c r="J69" s="23">
        <f t="shared" si="10"/>
        <v>8.8000000000000007</v>
      </c>
      <c r="K69" s="23">
        <v>13.7</v>
      </c>
      <c r="L69" s="23">
        <f>ROUND(L68-K69,1)</f>
        <v>115.9</v>
      </c>
      <c r="M69" s="23">
        <f t="shared" si="11"/>
        <v>9.4</v>
      </c>
      <c r="N69" s="23">
        <f t="shared" si="12"/>
        <v>9.1</v>
      </c>
      <c r="O69" s="23">
        <f t="shared" si="13"/>
        <v>0.4</v>
      </c>
      <c r="P69" s="23">
        <f t="shared" si="14"/>
        <v>0.8</v>
      </c>
      <c r="Q69" s="23"/>
      <c r="R69" s="23"/>
    </row>
    <row r="70" spans="1:18" x14ac:dyDescent="0.2">
      <c r="A70" s="25" t="s">
        <v>5</v>
      </c>
      <c r="B70" s="25">
        <v>12</v>
      </c>
      <c r="C70" s="25">
        <v>2</v>
      </c>
      <c r="D70" s="25" t="s">
        <v>55</v>
      </c>
      <c r="E70" s="25">
        <v>60</v>
      </c>
      <c r="F70" s="25">
        <v>1</v>
      </c>
      <c r="G70" s="25">
        <v>1</v>
      </c>
      <c r="H70" s="25">
        <v>35.5</v>
      </c>
      <c r="I70" s="25">
        <f>ROUND($B$6-H70,1)</f>
        <v>214.5</v>
      </c>
      <c r="J70" s="25">
        <f t="shared" si="10"/>
        <v>24.2</v>
      </c>
      <c r="K70" s="25">
        <v>35</v>
      </c>
      <c r="L70" s="25">
        <f>ROUND($B$6-K70,1)</f>
        <v>215</v>
      </c>
      <c r="M70" s="25">
        <f t="shared" si="11"/>
        <v>23.9</v>
      </c>
      <c r="N70" s="25">
        <f t="shared" si="12"/>
        <v>24.1</v>
      </c>
      <c r="O70" s="25">
        <f t="shared" si="13"/>
        <v>0.2</v>
      </c>
      <c r="P70" s="25">
        <f t="shared" si="14"/>
        <v>2</v>
      </c>
      <c r="Q70" s="25">
        <f>ROUND(N70/N64*100,1)</f>
        <v>73.5</v>
      </c>
      <c r="R70" s="25">
        <f>ROUND(STDEV(J70/J64*100,M70/M64*100),1)</f>
        <v>0</v>
      </c>
    </row>
    <row r="71" spans="1:18" x14ac:dyDescent="0.2">
      <c r="A71" s="25" t="s">
        <v>5</v>
      </c>
      <c r="B71" s="25">
        <v>12</v>
      </c>
      <c r="C71" s="25">
        <v>2</v>
      </c>
      <c r="D71" s="25" t="s">
        <v>55</v>
      </c>
      <c r="E71" s="25">
        <v>120</v>
      </c>
      <c r="F71" s="25">
        <v>2</v>
      </c>
      <c r="G71" s="25">
        <v>1</v>
      </c>
      <c r="H71" s="25">
        <v>36</v>
      </c>
      <c r="I71" s="25">
        <f>ROUND(I70-H71,1)</f>
        <v>178.5</v>
      </c>
      <c r="J71" s="25">
        <f t="shared" si="10"/>
        <v>24.6</v>
      </c>
      <c r="K71" s="25">
        <v>37</v>
      </c>
      <c r="L71" s="25">
        <f>ROUND(L70-K71,1)</f>
        <v>178</v>
      </c>
      <c r="M71" s="25">
        <f t="shared" si="11"/>
        <v>25.3</v>
      </c>
      <c r="N71" s="25">
        <f t="shared" si="12"/>
        <v>25</v>
      </c>
      <c r="O71" s="25">
        <f t="shared" si="13"/>
        <v>0.5</v>
      </c>
      <c r="P71" s="25">
        <f t="shared" si="14"/>
        <v>2.1</v>
      </c>
      <c r="Q71" s="25">
        <f>ROUND(N71/N64*100,1)</f>
        <v>76.2</v>
      </c>
      <c r="R71" s="25">
        <f>ROUND(STDEV(J71/J64*100,M71/M64*100),1)</f>
        <v>2.2000000000000002</v>
      </c>
    </row>
    <row r="72" spans="1:18" x14ac:dyDescent="0.2">
      <c r="A72" s="21" t="s">
        <v>1</v>
      </c>
      <c r="B72" s="21">
        <v>30</v>
      </c>
      <c r="C72" s="21">
        <v>2</v>
      </c>
      <c r="D72" s="21" t="s">
        <v>39</v>
      </c>
      <c r="E72" s="21">
        <v>300</v>
      </c>
      <c r="F72" s="21">
        <v>5</v>
      </c>
      <c r="G72" s="21">
        <v>1</v>
      </c>
      <c r="H72" s="21">
        <v>48.4</v>
      </c>
      <c r="I72" s="21"/>
      <c r="J72" s="21">
        <f t="shared" si="10"/>
        <v>33.1</v>
      </c>
      <c r="K72" s="21">
        <v>48</v>
      </c>
      <c r="L72" s="21"/>
      <c r="M72" s="21">
        <f t="shared" si="11"/>
        <v>32.799999999999997</v>
      </c>
      <c r="N72" s="21">
        <f t="shared" si="12"/>
        <v>33</v>
      </c>
      <c r="O72" s="21">
        <f t="shared" si="13"/>
        <v>0.2</v>
      </c>
      <c r="P72" s="21">
        <f t="shared" si="14"/>
        <v>1.1000000000000001</v>
      </c>
      <c r="Q72" s="21"/>
      <c r="R72" s="21"/>
    </row>
    <row r="73" spans="1:18" x14ac:dyDescent="0.2">
      <c r="A73" s="23" t="s">
        <v>1</v>
      </c>
      <c r="B73" s="23">
        <v>30</v>
      </c>
      <c r="C73" s="23">
        <v>2</v>
      </c>
      <c r="D73" s="23" t="s">
        <v>42</v>
      </c>
      <c r="E73" s="23">
        <v>60</v>
      </c>
      <c r="F73" s="23">
        <v>1</v>
      </c>
      <c r="G73" s="23">
        <v>1</v>
      </c>
      <c r="H73" s="23">
        <v>42.2</v>
      </c>
      <c r="I73" s="23">
        <f>ROUND($B$6-H73,1)</f>
        <v>207.8</v>
      </c>
      <c r="J73" s="23">
        <f t="shared" si="10"/>
        <v>28.8</v>
      </c>
      <c r="K73" s="23">
        <v>42.7</v>
      </c>
      <c r="L73" s="23">
        <f>ROUND($B$6-K73,1)</f>
        <v>207.3</v>
      </c>
      <c r="M73" s="23">
        <f t="shared" si="11"/>
        <v>29.2</v>
      </c>
      <c r="N73" s="23">
        <f t="shared" si="12"/>
        <v>29</v>
      </c>
      <c r="O73" s="23">
        <f t="shared" si="13"/>
        <v>0.3</v>
      </c>
      <c r="P73" s="23">
        <f t="shared" si="14"/>
        <v>1</v>
      </c>
      <c r="Q73" s="23"/>
      <c r="R73" s="23"/>
    </row>
    <row r="74" spans="1:18" x14ac:dyDescent="0.2">
      <c r="A74" s="23" t="s">
        <v>1</v>
      </c>
      <c r="B74" s="23">
        <v>30</v>
      </c>
      <c r="C74" s="23">
        <v>2</v>
      </c>
      <c r="D74" s="23" t="s">
        <v>42</v>
      </c>
      <c r="E74" s="23">
        <v>120</v>
      </c>
      <c r="F74" s="23">
        <v>2</v>
      </c>
      <c r="G74" s="23">
        <v>1</v>
      </c>
      <c r="H74" s="23">
        <v>37.799999999999997</v>
      </c>
      <c r="I74" s="23">
        <f>ROUND(I73-H74,1)</f>
        <v>170</v>
      </c>
      <c r="J74" s="23">
        <f t="shared" si="10"/>
        <v>25.8</v>
      </c>
      <c r="K74" s="23">
        <v>37.1</v>
      </c>
      <c r="L74" s="23">
        <f>ROUND(L73-K74,1)</f>
        <v>170.2</v>
      </c>
      <c r="M74" s="23">
        <f t="shared" si="11"/>
        <v>25.3</v>
      </c>
      <c r="N74" s="23">
        <f t="shared" si="12"/>
        <v>25.6</v>
      </c>
      <c r="O74" s="23">
        <f t="shared" si="13"/>
        <v>0.4</v>
      </c>
      <c r="P74" s="23">
        <f t="shared" si="14"/>
        <v>0.9</v>
      </c>
      <c r="Q74" s="23"/>
      <c r="R74" s="23"/>
    </row>
    <row r="75" spans="1:18" x14ac:dyDescent="0.2">
      <c r="A75" s="23" t="s">
        <v>1</v>
      </c>
      <c r="B75" s="23">
        <v>30</v>
      </c>
      <c r="C75" s="23">
        <v>2</v>
      </c>
      <c r="D75" s="23" t="s">
        <v>42</v>
      </c>
      <c r="E75" s="23">
        <v>180</v>
      </c>
      <c r="F75" s="23">
        <v>3</v>
      </c>
      <c r="G75" s="23">
        <v>1</v>
      </c>
      <c r="H75" s="23">
        <v>34.299999999999997</v>
      </c>
      <c r="I75" s="23">
        <f>ROUND(I74-H75,1)</f>
        <v>135.69999999999999</v>
      </c>
      <c r="J75" s="23">
        <f t="shared" si="10"/>
        <v>23.4</v>
      </c>
      <c r="K75" s="23">
        <v>35.200000000000003</v>
      </c>
      <c r="L75" s="23">
        <f>ROUND(L74-K75,1)</f>
        <v>135</v>
      </c>
      <c r="M75" s="23">
        <f t="shared" si="11"/>
        <v>24</v>
      </c>
      <c r="N75" s="23">
        <f t="shared" si="12"/>
        <v>23.7</v>
      </c>
      <c r="O75" s="23">
        <f t="shared" si="13"/>
        <v>0.4</v>
      </c>
      <c r="P75" s="23">
        <f t="shared" si="14"/>
        <v>0.8</v>
      </c>
      <c r="Q75" s="23"/>
      <c r="R75" s="23"/>
    </row>
    <row r="76" spans="1:18" x14ac:dyDescent="0.2">
      <c r="A76" s="23" t="s">
        <v>1</v>
      </c>
      <c r="B76" s="23">
        <v>30</v>
      </c>
      <c r="C76" s="23">
        <v>2</v>
      </c>
      <c r="D76" s="23" t="s">
        <v>42</v>
      </c>
      <c r="E76" s="23">
        <v>240</v>
      </c>
      <c r="F76" s="23">
        <v>4</v>
      </c>
      <c r="G76" s="23">
        <v>1</v>
      </c>
      <c r="H76" s="23">
        <v>29.9</v>
      </c>
      <c r="I76" s="23">
        <f>ROUND(I75-H76,1)</f>
        <v>105.8</v>
      </c>
      <c r="J76" s="23">
        <f t="shared" si="10"/>
        <v>20.399999999999999</v>
      </c>
      <c r="K76" s="23">
        <v>28.9</v>
      </c>
      <c r="L76" s="23">
        <f>ROUND(L75-K76,1)</f>
        <v>106.1</v>
      </c>
      <c r="M76" s="23">
        <f t="shared" si="11"/>
        <v>19.7</v>
      </c>
      <c r="N76" s="23">
        <f t="shared" si="12"/>
        <v>20.100000000000001</v>
      </c>
      <c r="O76" s="23">
        <f t="shared" si="13"/>
        <v>0.5</v>
      </c>
      <c r="P76" s="23">
        <f t="shared" si="14"/>
        <v>0.7</v>
      </c>
      <c r="Q76" s="23"/>
      <c r="R76" s="23"/>
    </row>
    <row r="77" spans="1:18" x14ac:dyDescent="0.2">
      <c r="A77" s="23" t="s">
        <v>1</v>
      </c>
      <c r="B77" s="23">
        <v>30</v>
      </c>
      <c r="C77" s="23">
        <v>2</v>
      </c>
      <c r="D77" s="23" t="s">
        <v>42</v>
      </c>
      <c r="E77" s="23">
        <v>300</v>
      </c>
      <c r="F77" s="23">
        <v>5</v>
      </c>
      <c r="G77" s="23">
        <v>1</v>
      </c>
      <c r="H77" s="23">
        <v>26.4</v>
      </c>
      <c r="I77" s="23">
        <f>ROUND(I76-H77,1)</f>
        <v>79.400000000000006</v>
      </c>
      <c r="J77" s="23">
        <f t="shared" si="10"/>
        <v>18</v>
      </c>
      <c r="K77" s="23">
        <v>27</v>
      </c>
      <c r="L77" s="23">
        <f>ROUND(L76-K77,1)</f>
        <v>79.099999999999994</v>
      </c>
      <c r="M77" s="23">
        <f t="shared" si="11"/>
        <v>18.399999999999999</v>
      </c>
      <c r="N77" s="23">
        <f t="shared" si="12"/>
        <v>18.2</v>
      </c>
      <c r="O77" s="23">
        <f t="shared" si="13"/>
        <v>0.3</v>
      </c>
      <c r="P77" s="23">
        <f t="shared" si="14"/>
        <v>0.6</v>
      </c>
      <c r="Q77" s="23"/>
      <c r="R77" s="23"/>
    </row>
    <row r="78" spans="1:18" x14ac:dyDescent="0.2">
      <c r="A78" s="25" t="s">
        <v>1</v>
      </c>
      <c r="B78" s="25">
        <v>30</v>
      </c>
      <c r="C78" s="25">
        <v>2</v>
      </c>
      <c r="D78" s="25" t="s">
        <v>55</v>
      </c>
      <c r="E78" s="25">
        <v>60</v>
      </c>
      <c r="F78" s="25">
        <v>1</v>
      </c>
      <c r="G78" s="25">
        <v>1</v>
      </c>
      <c r="H78" s="25">
        <v>40.4</v>
      </c>
      <c r="I78" s="25">
        <f>ROUND($B$6-H78,1)</f>
        <v>209.6</v>
      </c>
      <c r="J78" s="25">
        <f t="shared" si="10"/>
        <v>27.6</v>
      </c>
      <c r="K78" s="25">
        <v>39.6</v>
      </c>
      <c r="L78" s="25">
        <f>ROUND($B$6-K78,1)</f>
        <v>210.4</v>
      </c>
      <c r="M78" s="25">
        <f t="shared" si="11"/>
        <v>27</v>
      </c>
      <c r="N78" s="25">
        <f t="shared" si="12"/>
        <v>27.3</v>
      </c>
      <c r="O78" s="25">
        <f t="shared" si="13"/>
        <v>0.4</v>
      </c>
      <c r="P78" s="25">
        <f t="shared" si="14"/>
        <v>0.9</v>
      </c>
      <c r="Q78" s="25">
        <f>ROUND(N78/N72*100,1)</f>
        <v>82.7</v>
      </c>
      <c r="R78" s="25">
        <f>ROUND(STDEV(J78/J72*100,M78/M72*100),1)</f>
        <v>0.8</v>
      </c>
    </row>
    <row r="79" spans="1:18" x14ac:dyDescent="0.2">
      <c r="A79" s="25" t="s">
        <v>1</v>
      </c>
      <c r="B79" s="25">
        <v>30</v>
      </c>
      <c r="C79" s="25">
        <v>2</v>
      </c>
      <c r="D79" s="25" t="s">
        <v>55</v>
      </c>
      <c r="E79" s="25">
        <v>120</v>
      </c>
      <c r="F79" s="25">
        <v>2</v>
      </c>
      <c r="G79" s="25">
        <v>1</v>
      </c>
      <c r="H79" s="25">
        <v>41.2</v>
      </c>
      <c r="I79" s="25">
        <f>ROUND(I78-H79,1)</f>
        <v>168.4</v>
      </c>
      <c r="J79" s="25">
        <f t="shared" si="10"/>
        <v>28.1</v>
      </c>
      <c r="K79" s="25">
        <v>41.7</v>
      </c>
      <c r="L79" s="25">
        <f>ROUND(L78-K79,1)</f>
        <v>168.7</v>
      </c>
      <c r="M79" s="25">
        <f t="shared" si="11"/>
        <v>28.5</v>
      </c>
      <c r="N79" s="25">
        <f t="shared" si="12"/>
        <v>28.3</v>
      </c>
      <c r="O79" s="25">
        <f t="shared" si="13"/>
        <v>0.3</v>
      </c>
      <c r="P79" s="25">
        <f t="shared" si="14"/>
        <v>0.9</v>
      </c>
      <c r="Q79" s="25">
        <f>ROUND(N79/N72*100,1)</f>
        <v>85.8</v>
      </c>
      <c r="R79" s="25">
        <f>ROUND(STDEV(J79/J72*100,M79/M72*100),1)</f>
        <v>1.4</v>
      </c>
    </row>
    <row r="80" spans="1:18" x14ac:dyDescent="0.2">
      <c r="A80" s="21" t="s">
        <v>0</v>
      </c>
      <c r="B80" s="21">
        <v>30</v>
      </c>
      <c r="C80" s="21">
        <v>2</v>
      </c>
      <c r="D80" s="21" t="s">
        <v>39</v>
      </c>
      <c r="E80" s="21">
        <v>300</v>
      </c>
      <c r="F80" s="21">
        <v>5</v>
      </c>
      <c r="G80" s="21">
        <v>1</v>
      </c>
      <c r="H80" s="21">
        <v>48.9</v>
      </c>
      <c r="I80" s="21"/>
      <c r="J80" s="21">
        <f t="shared" si="10"/>
        <v>33.4</v>
      </c>
      <c r="K80" s="21">
        <v>47.8</v>
      </c>
      <c r="L80" s="21"/>
      <c r="M80" s="21">
        <f t="shared" si="11"/>
        <v>32.700000000000003</v>
      </c>
      <c r="N80" s="21">
        <f t="shared" si="12"/>
        <v>33.1</v>
      </c>
      <c r="O80" s="21">
        <f t="shared" si="13"/>
        <v>0.5</v>
      </c>
      <c r="P80" s="21">
        <f t="shared" si="14"/>
        <v>1.1000000000000001</v>
      </c>
      <c r="Q80" s="21"/>
      <c r="R80" s="21"/>
    </row>
    <row r="81" spans="1:18" x14ac:dyDescent="0.2">
      <c r="A81" s="23" t="s">
        <v>0</v>
      </c>
      <c r="B81" s="23">
        <v>30</v>
      </c>
      <c r="C81" s="23">
        <v>2</v>
      </c>
      <c r="D81" s="23" t="s">
        <v>42</v>
      </c>
      <c r="E81" s="23">
        <v>60</v>
      </c>
      <c r="F81" s="23">
        <v>1</v>
      </c>
      <c r="G81" s="23">
        <v>1</v>
      </c>
      <c r="H81" s="23">
        <v>43.7</v>
      </c>
      <c r="I81" s="23">
        <f>ROUND($B$6-H81,1)</f>
        <v>206.3</v>
      </c>
      <c r="J81" s="23">
        <f t="shared" si="10"/>
        <v>29.8</v>
      </c>
      <c r="K81" s="23">
        <v>44.1</v>
      </c>
      <c r="L81" s="23">
        <f>ROUND($B$6-K81,1)</f>
        <v>205.9</v>
      </c>
      <c r="M81" s="23">
        <f t="shared" si="11"/>
        <v>30.1</v>
      </c>
      <c r="N81" s="23">
        <f t="shared" si="12"/>
        <v>30</v>
      </c>
      <c r="O81" s="23">
        <f t="shared" si="13"/>
        <v>0.2</v>
      </c>
      <c r="P81" s="23">
        <f t="shared" si="14"/>
        <v>1</v>
      </c>
      <c r="Q81" s="23"/>
      <c r="R81" s="23"/>
    </row>
    <row r="82" spans="1:18" x14ac:dyDescent="0.2">
      <c r="A82" s="23" t="s">
        <v>0</v>
      </c>
      <c r="B82" s="23">
        <v>30</v>
      </c>
      <c r="C82" s="23">
        <v>2</v>
      </c>
      <c r="D82" s="23" t="s">
        <v>42</v>
      </c>
      <c r="E82" s="23">
        <v>120</v>
      </c>
      <c r="F82" s="23">
        <v>2</v>
      </c>
      <c r="G82" s="23">
        <v>1</v>
      </c>
      <c r="H82" s="23">
        <v>39.9</v>
      </c>
      <c r="I82" s="23">
        <f>ROUND(I81-H82,1)</f>
        <v>166.4</v>
      </c>
      <c r="J82" s="23">
        <f t="shared" si="10"/>
        <v>27.3</v>
      </c>
      <c r="K82" s="23">
        <v>39.299999999999997</v>
      </c>
      <c r="L82" s="23">
        <f>ROUND(L81-K82,1)</f>
        <v>166.6</v>
      </c>
      <c r="M82" s="23">
        <f t="shared" si="11"/>
        <v>26.8</v>
      </c>
      <c r="N82" s="23">
        <f t="shared" si="12"/>
        <v>27.1</v>
      </c>
      <c r="O82" s="23">
        <f t="shared" si="13"/>
        <v>0.4</v>
      </c>
      <c r="P82" s="23">
        <f t="shared" si="14"/>
        <v>0.9</v>
      </c>
      <c r="Q82" s="23"/>
      <c r="R82" s="23"/>
    </row>
    <row r="83" spans="1:18" x14ac:dyDescent="0.2">
      <c r="A83" s="23" t="s">
        <v>0</v>
      </c>
      <c r="B83" s="23">
        <v>30</v>
      </c>
      <c r="C83" s="23">
        <v>2</v>
      </c>
      <c r="D83" s="23" t="s">
        <v>42</v>
      </c>
      <c r="E83" s="23">
        <v>180</v>
      </c>
      <c r="F83" s="23">
        <v>3</v>
      </c>
      <c r="G83" s="23">
        <v>1</v>
      </c>
      <c r="H83" s="23">
        <v>33.299999999999997</v>
      </c>
      <c r="I83" s="23">
        <f>ROUND(I82-H83,1)</f>
        <v>133.1</v>
      </c>
      <c r="J83" s="23">
        <f t="shared" si="10"/>
        <v>22.7</v>
      </c>
      <c r="K83" s="23">
        <v>34</v>
      </c>
      <c r="L83" s="23">
        <f>ROUND(L82-K83,1)</f>
        <v>132.6</v>
      </c>
      <c r="M83" s="23">
        <f t="shared" si="11"/>
        <v>23.2</v>
      </c>
      <c r="N83" s="23">
        <f t="shared" si="12"/>
        <v>23</v>
      </c>
      <c r="O83" s="23">
        <f t="shared" si="13"/>
        <v>0.4</v>
      </c>
      <c r="P83" s="23">
        <f t="shared" si="14"/>
        <v>0.8</v>
      </c>
      <c r="Q83" s="23"/>
      <c r="R83" s="23"/>
    </row>
    <row r="84" spans="1:18" x14ac:dyDescent="0.2">
      <c r="A84" s="23" t="s">
        <v>0</v>
      </c>
      <c r="B84" s="23">
        <v>30</v>
      </c>
      <c r="C84" s="23">
        <v>2</v>
      </c>
      <c r="D84" s="23" t="s">
        <v>42</v>
      </c>
      <c r="E84" s="23">
        <v>240</v>
      </c>
      <c r="F84" s="23">
        <v>4</v>
      </c>
      <c r="G84" s="23">
        <v>1</v>
      </c>
      <c r="H84" s="23">
        <v>31.5</v>
      </c>
      <c r="I84" s="23">
        <f>ROUND(I83-H84,1)</f>
        <v>101.6</v>
      </c>
      <c r="J84" s="23">
        <f t="shared" si="10"/>
        <v>21.5</v>
      </c>
      <c r="K84" s="23">
        <v>30.7</v>
      </c>
      <c r="L84" s="23">
        <f>ROUND(L83-K84,1)</f>
        <v>101.9</v>
      </c>
      <c r="M84" s="23">
        <f t="shared" si="11"/>
        <v>21</v>
      </c>
      <c r="N84" s="23">
        <f t="shared" si="12"/>
        <v>21.3</v>
      </c>
      <c r="O84" s="23">
        <f t="shared" si="13"/>
        <v>0.4</v>
      </c>
      <c r="P84" s="23">
        <f t="shared" si="14"/>
        <v>0.7</v>
      </c>
      <c r="Q84" s="23"/>
      <c r="R84" s="23"/>
    </row>
    <row r="85" spans="1:18" x14ac:dyDescent="0.2">
      <c r="A85" s="23" t="s">
        <v>0</v>
      </c>
      <c r="B85" s="23">
        <v>30</v>
      </c>
      <c r="C85" s="23">
        <v>2</v>
      </c>
      <c r="D85" s="23" t="s">
        <v>42</v>
      </c>
      <c r="E85" s="23">
        <v>300</v>
      </c>
      <c r="F85" s="23">
        <v>5</v>
      </c>
      <c r="G85" s="23">
        <v>1</v>
      </c>
      <c r="H85" s="23">
        <v>28.1</v>
      </c>
      <c r="I85" s="23">
        <f>ROUND(I84-H85,1)</f>
        <v>73.5</v>
      </c>
      <c r="J85" s="23">
        <f t="shared" si="10"/>
        <v>19.2</v>
      </c>
      <c r="K85" s="23">
        <v>29.1</v>
      </c>
      <c r="L85" s="23">
        <f>ROUND(L84-K85,1)</f>
        <v>72.8</v>
      </c>
      <c r="M85" s="23">
        <f t="shared" si="11"/>
        <v>19.899999999999999</v>
      </c>
      <c r="N85" s="23">
        <f t="shared" si="12"/>
        <v>19.600000000000001</v>
      </c>
      <c r="O85" s="23">
        <f t="shared" si="13"/>
        <v>0.5</v>
      </c>
      <c r="P85" s="23">
        <f t="shared" si="14"/>
        <v>0.7</v>
      </c>
      <c r="Q85" s="23"/>
      <c r="R85" s="23"/>
    </row>
    <row r="86" spans="1:18" x14ac:dyDescent="0.2">
      <c r="A86" s="25" t="s">
        <v>0</v>
      </c>
      <c r="B86" s="25">
        <v>30</v>
      </c>
      <c r="C86" s="25">
        <v>2</v>
      </c>
      <c r="D86" s="25" t="s">
        <v>55</v>
      </c>
      <c r="E86" s="25">
        <v>60</v>
      </c>
      <c r="F86" s="25">
        <v>1</v>
      </c>
      <c r="G86" s="25">
        <v>1</v>
      </c>
      <c r="H86" s="25">
        <v>47.9</v>
      </c>
      <c r="I86" s="25">
        <f>ROUND($B$6-H86,1)</f>
        <v>202.1</v>
      </c>
      <c r="J86" s="25">
        <f t="shared" si="10"/>
        <v>32.700000000000003</v>
      </c>
      <c r="K86" s="25">
        <v>47.3</v>
      </c>
      <c r="L86" s="25">
        <f>ROUND($B$6-K86,1)</f>
        <v>202.7</v>
      </c>
      <c r="M86" s="25">
        <f t="shared" si="11"/>
        <v>32.299999999999997</v>
      </c>
      <c r="N86" s="25">
        <f t="shared" si="12"/>
        <v>32.5</v>
      </c>
      <c r="O86" s="25">
        <f t="shared" si="13"/>
        <v>0.3</v>
      </c>
      <c r="P86" s="25">
        <f t="shared" si="14"/>
        <v>1.1000000000000001</v>
      </c>
      <c r="Q86" s="25">
        <f>ROUND(N86/N80*100,1)</f>
        <v>98.2</v>
      </c>
      <c r="R86" s="25">
        <f>ROUND(STDEV(J86/J80*100,M86/M80*100),1)</f>
        <v>0.6</v>
      </c>
    </row>
    <row r="87" spans="1:18" x14ac:dyDescent="0.2">
      <c r="A87" s="25" t="s">
        <v>0</v>
      </c>
      <c r="B87" s="25">
        <v>30</v>
      </c>
      <c r="C87" s="25">
        <v>2</v>
      </c>
      <c r="D87" s="25" t="s">
        <v>55</v>
      </c>
      <c r="E87" s="25">
        <v>120</v>
      </c>
      <c r="F87" s="25">
        <v>2</v>
      </c>
      <c r="G87" s="25">
        <v>1</v>
      </c>
      <c r="H87" s="25">
        <v>48</v>
      </c>
      <c r="I87" s="25">
        <f>ROUND(I86-H87,1)</f>
        <v>154.1</v>
      </c>
      <c r="J87" s="25">
        <f t="shared" si="10"/>
        <v>32.799999999999997</v>
      </c>
      <c r="K87" s="25">
        <v>48.7</v>
      </c>
      <c r="L87" s="25">
        <f>ROUND(L86-K87,1)</f>
        <v>154</v>
      </c>
      <c r="M87" s="25">
        <f t="shared" si="11"/>
        <v>33.299999999999997</v>
      </c>
      <c r="N87" s="25">
        <f t="shared" si="12"/>
        <v>33.1</v>
      </c>
      <c r="O87" s="25">
        <f t="shared" si="13"/>
        <v>0.4</v>
      </c>
      <c r="P87" s="25">
        <f t="shared" si="14"/>
        <v>1.1000000000000001</v>
      </c>
      <c r="Q87" s="25">
        <f>ROUND(N87/N80*100,1)</f>
        <v>100</v>
      </c>
      <c r="R87" s="25">
        <f>ROUND(STDEV(J87/J80*100,M87/M80*100),1)</f>
        <v>2.6</v>
      </c>
    </row>
    <row r="88" spans="1:18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</row>
  </sheetData>
  <mergeCells count="3">
    <mergeCell ref="A62:R62"/>
    <mergeCell ref="A8:R8"/>
    <mergeCell ref="A35:R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6876-DF2A-044F-81B6-C873238D76BD}">
  <dimension ref="A1:AI206"/>
  <sheetViews>
    <sheetView tabSelected="1" topLeftCell="A136" zoomScale="75" zoomScaleNormal="100" workbookViewId="0">
      <selection activeCell="F4" sqref="F4"/>
    </sheetView>
  </sheetViews>
  <sheetFormatPr baseColWidth="10" defaultColWidth="8.83203125" defaultRowHeight="15" x14ac:dyDescent="0.2"/>
  <cols>
    <col min="1" max="1" width="24.83203125" bestFit="1" customWidth="1"/>
    <col min="2" max="2" width="12" customWidth="1"/>
    <col min="3" max="3" width="7" customWidth="1"/>
    <col min="4" max="4" width="12" customWidth="1"/>
    <col min="5" max="5" width="16" customWidth="1"/>
    <col min="6" max="6" width="27" customWidth="1"/>
    <col min="7" max="7" width="11" customWidth="1"/>
    <col min="8" max="9" width="9" customWidth="1"/>
    <col min="10" max="10" width="15" customWidth="1"/>
    <col min="11" max="11" width="17" customWidth="1"/>
    <col min="12" max="12" width="14" customWidth="1"/>
    <col min="13" max="15" width="16" customWidth="1"/>
    <col min="16" max="17" width="15" customWidth="1"/>
    <col min="18" max="18" width="17" customWidth="1"/>
    <col min="19" max="19" width="14" customWidth="1"/>
    <col min="20" max="22" width="16" customWidth="1"/>
    <col min="23" max="23" width="15" customWidth="1"/>
    <col min="24" max="24" width="16" style="30" customWidth="1"/>
    <col min="25" max="25" width="13" style="30" customWidth="1"/>
    <col min="26" max="26" width="18" style="30" customWidth="1"/>
    <col min="27" max="27" width="15" style="30" customWidth="1"/>
    <col min="28" max="29" width="18" style="30" customWidth="1"/>
    <col min="30" max="30" width="19" style="30" customWidth="1"/>
    <col min="31" max="31" width="20" style="30" customWidth="1"/>
    <col min="32" max="33" width="21" style="30" customWidth="1"/>
    <col min="34" max="34" width="30.33203125" style="30" customWidth="1"/>
    <col min="35" max="35" width="23" style="30" customWidth="1"/>
  </cols>
  <sheetData>
    <row r="1" spans="1:35" x14ac:dyDescent="0.2">
      <c r="A1" s="40" t="s">
        <v>17</v>
      </c>
      <c r="B1" s="40" t="s">
        <v>18</v>
      </c>
      <c r="C1" s="15"/>
      <c r="D1" s="40" t="s">
        <v>19</v>
      </c>
      <c r="E1" s="40" t="s">
        <v>20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35" x14ac:dyDescent="0.2">
      <c r="A2" s="15" t="s">
        <v>21</v>
      </c>
      <c r="B2" s="28">
        <v>1.464E-3</v>
      </c>
      <c r="C2" s="15"/>
      <c r="D2" s="15" t="s">
        <v>5</v>
      </c>
      <c r="E2" s="15">
        <v>12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35" x14ac:dyDescent="0.2">
      <c r="A3" s="15" t="s">
        <v>22</v>
      </c>
      <c r="B3" s="15">
        <v>250</v>
      </c>
      <c r="C3" s="15"/>
      <c r="D3" s="15" t="s">
        <v>1</v>
      </c>
      <c r="E3" s="15">
        <v>30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35" x14ac:dyDescent="0.2">
      <c r="A4" s="15" t="s">
        <v>84</v>
      </c>
      <c r="B4" s="15">
        <v>1000</v>
      </c>
      <c r="C4" s="15"/>
      <c r="D4" s="15" t="s">
        <v>0</v>
      </c>
      <c r="E4" s="15">
        <v>30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35" x14ac:dyDescent="0.2">
      <c r="A5" s="15" t="s">
        <v>73</v>
      </c>
      <c r="B5" s="15">
        <v>250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35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35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35" x14ac:dyDescent="0.2">
      <c r="A8" s="39" t="s">
        <v>85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 spans="1:35" ht="32" x14ac:dyDescent="0.2">
      <c r="A9" s="29" t="s">
        <v>19</v>
      </c>
      <c r="B9" s="29" t="s">
        <v>26</v>
      </c>
      <c r="C9" s="29" t="s">
        <v>8</v>
      </c>
      <c r="D9" s="29" t="s">
        <v>74</v>
      </c>
      <c r="E9" s="29" t="s">
        <v>75</v>
      </c>
      <c r="F9" s="29" t="s">
        <v>86</v>
      </c>
      <c r="G9" s="29" t="s">
        <v>28</v>
      </c>
      <c r="H9" s="29" t="s">
        <v>4</v>
      </c>
      <c r="I9" s="29" t="s">
        <v>29</v>
      </c>
      <c r="J9" s="29" t="s">
        <v>87</v>
      </c>
      <c r="K9" s="29" t="s">
        <v>88</v>
      </c>
      <c r="L9" s="29" t="s">
        <v>89</v>
      </c>
      <c r="M9" s="29" t="s">
        <v>90</v>
      </c>
      <c r="N9" s="29" t="s">
        <v>91</v>
      </c>
      <c r="O9" s="29" t="s">
        <v>92</v>
      </c>
      <c r="P9" s="29" t="s">
        <v>93</v>
      </c>
      <c r="Q9" s="29" t="s">
        <v>94</v>
      </c>
      <c r="R9" s="29" t="s">
        <v>95</v>
      </c>
      <c r="S9" s="29" t="s">
        <v>96</v>
      </c>
      <c r="T9" s="29" t="s">
        <v>97</v>
      </c>
      <c r="U9" s="29" t="s">
        <v>98</v>
      </c>
      <c r="V9" s="29" t="s">
        <v>99</v>
      </c>
      <c r="W9" s="29" t="s">
        <v>100</v>
      </c>
      <c r="X9" s="44" t="s">
        <v>36</v>
      </c>
      <c r="Y9" s="44" t="s">
        <v>37</v>
      </c>
      <c r="Z9" s="44" t="s">
        <v>101</v>
      </c>
      <c r="AA9" s="44" t="s">
        <v>102</v>
      </c>
      <c r="AB9" s="44" t="s">
        <v>107</v>
      </c>
      <c r="AC9" s="44" t="s">
        <v>108</v>
      </c>
      <c r="AD9" s="45" t="s">
        <v>109</v>
      </c>
      <c r="AE9" s="45" t="s">
        <v>110</v>
      </c>
      <c r="AF9" s="45" t="s">
        <v>111</v>
      </c>
      <c r="AG9" s="45" t="s">
        <v>112</v>
      </c>
      <c r="AH9" s="45" t="s">
        <v>113</v>
      </c>
      <c r="AI9" s="45" t="s">
        <v>114</v>
      </c>
    </row>
    <row r="10" spans="1:35" x14ac:dyDescent="0.2">
      <c r="A10" s="38" t="s">
        <v>76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35" x14ac:dyDescent="0.2">
      <c r="A11" s="15" t="s">
        <v>5</v>
      </c>
      <c r="B11" s="15">
        <v>12</v>
      </c>
      <c r="C11" s="15">
        <v>4</v>
      </c>
      <c r="D11" s="15">
        <v>0</v>
      </c>
      <c r="E11" s="15">
        <v>0</v>
      </c>
      <c r="F11" s="15" t="s">
        <v>103</v>
      </c>
      <c r="G11" s="15">
        <v>60</v>
      </c>
      <c r="H11" s="15">
        <v>1</v>
      </c>
      <c r="I11" s="15">
        <v>1</v>
      </c>
      <c r="J11" s="15">
        <v>47.7</v>
      </c>
      <c r="K11" s="15">
        <f>($B$3-J11)</f>
        <v>202.3</v>
      </c>
      <c r="L11" s="15">
        <f>J11/1000/$B$2</f>
        <v>32.581967213114758</v>
      </c>
      <c r="M11" s="15">
        <v>1000</v>
      </c>
      <c r="N11" s="15">
        <v>29</v>
      </c>
      <c r="O11" s="15">
        <f>((M11*$B$3)-(N11*J11))/K11</f>
        <v>1228.9505684626793</v>
      </c>
      <c r="P11" s="15">
        <f>(1-N11/M11)*100</f>
        <v>97.1</v>
      </c>
      <c r="Q11" s="15">
        <v>47.8</v>
      </c>
      <c r="R11" s="15">
        <f>($B$3-Q11)</f>
        <v>202.2</v>
      </c>
      <c r="S11" s="15">
        <f>Q11/1000/$B$2</f>
        <v>32.650273224043715</v>
      </c>
      <c r="T11" s="15">
        <v>1000</v>
      </c>
      <c r="U11" s="15">
        <v>28.5</v>
      </c>
      <c r="V11" s="15">
        <f>((T11*$B$3)-(U11*Q11))/R11</f>
        <v>1229.6622156280912</v>
      </c>
      <c r="W11" s="15">
        <f>(1-U11/T11)*100</f>
        <v>97.15</v>
      </c>
      <c r="X11" s="30">
        <f>AVERAGE(L11,S11)</f>
        <v>32.61612021857924</v>
      </c>
      <c r="Y11" s="30">
        <f>STDEV(L11,S11)</f>
        <v>4.8299643523667959E-2</v>
      </c>
      <c r="Z11" s="30">
        <f>AVERAGE(P11,W11)</f>
        <v>97.125</v>
      </c>
      <c r="AA11" s="30">
        <f>STDEV(P11,W11)</f>
        <v>3.5355339059335411E-2</v>
      </c>
    </row>
    <row r="12" spans="1:35" x14ac:dyDescent="0.2">
      <c r="A12" s="15" t="s">
        <v>5</v>
      </c>
      <c r="B12" s="15">
        <v>12</v>
      </c>
      <c r="C12" s="15">
        <v>4</v>
      </c>
      <c r="D12" s="15">
        <v>0</v>
      </c>
      <c r="E12" s="15">
        <v>0</v>
      </c>
      <c r="F12" s="15" t="s">
        <v>103</v>
      </c>
      <c r="G12" s="15">
        <v>120</v>
      </c>
      <c r="H12" s="15">
        <v>2</v>
      </c>
      <c r="I12" s="15">
        <v>1</v>
      </c>
      <c r="J12" s="15">
        <v>48</v>
      </c>
      <c r="K12" s="15">
        <f>K11-J12</f>
        <v>154.30000000000001</v>
      </c>
      <c r="L12" s="15">
        <f>J12/1000/$B$2</f>
        <v>32.786885245901637</v>
      </c>
      <c r="M12" s="15">
        <v>1184.0999999999999</v>
      </c>
      <c r="N12" s="15">
        <v>41.4</v>
      </c>
      <c r="O12" s="15">
        <f>((M12*K11)-(N12*J12))/K12</f>
        <v>1539.5737524303304</v>
      </c>
      <c r="P12" s="15">
        <f>(1-N12/M12)*100</f>
        <v>96.503673676209772</v>
      </c>
      <c r="Q12" s="15">
        <v>47.5</v>
      </c>
      <c r="R12" s="15">
        <f>R11-Q12</f>
        <v>154.69999999999999</v>
      </c>
      <c r="S12" s="15">
        <f>Q12/1000/$B$2</f>
        <v>32.44535519125683</v>
      </c>
      <c r="T12" s="15">
        <v>1184.0999999999999</v>
      </c>
      <c r="U12" s="15">
        <v>42</v>
      </c>
      <c r="V12" s="15">
        <f>((T12*R11)-(U12*Q12))/R12</f>
        <v>1534.7771170006463</v>
      </c>
      <c r="W12" s="15">
        <f>(1-U12/T12)*100</f>
        <v>96.453002280212814</v>
      </c>
      <c r="X12" s="30">
        <f>AVERAGE(L12,S12)</f>
        <v>32.616120218579233</v>
      </c>
      <c r="Y12" s="30">
        <f>STDEV(L12,S12)</f>
        <v>0.24149821761835485</v>
      </c>
      <c r="Z12" s="30">
        <f>AVERAGE(P12,W12)</f>
        <v>96.4783379782113</v>
      </c>
      <c r="AA12" s="30">
        <f>STDEV(P12,W12)</f>
        <v>3.5830087721637427E-2</v>
      </c>
    </row>
    <row r="13" spans="1:35" x14ac:dyDescent="0.2">
      <c r="A13" s="15" t="s">
        <v>5</v>
      </c>
      <c r="B13" s="15">
        <v>12</v>
      </c>
      <c r="C13" s="15">
        <v>4</v>
      </c>
      <c r="D13" s="15">
        <v>0</v>
      </c>
      <c r="E13" s="15">
        <v>0</v>
      </c>
      <c r="F13" s="15" t="s">
        <v>77</v>
      </c>
      <c r="G13" s="15">
        <v>0</v>
      </c>
      <c r="H13" s="15">
        <v>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35" x14ac:dyDescent="0.2">
      <c r="A14" s="15" t="s">
        <v>5</v>
      </c>
      <c r="B14" s="15">
        <v>12</v>
      </c>
      <c r="C14" s="15">
        <v>4</v>
      </c>
      <c r="D14" s="15">
        <v>0</v>
      </c>
      <c r="E14" s="15">
        <v>0</v>
      </c>
      <c r="F14" s="15" t="s">
        <v>104</v>
      </c>
      <c r="G14" s="15">
        <v>60</v>
      </c>
      <c r="H14" s="15">
        <v>1</v>
      </c>
      <c r="I14" s="15">
        <v>1</v>
      </c>
      <c r="J14" s="15">
        <v>47.9</v>
      </c>
      <c r="K14" s="15">
        <f>$B$3-J14</f>
        <v>202.1</v>
      </c>
      <c r="L14" s="15">
        <f>J14/1000/$B$2</f>
        <v>32.718579234972673</v>
      </c>
      <c r="M14" s="15">
        <v>1000</v>
      </c>
      <c r="N14" s="15">
        <v>32</v>
      </c>
      <c r="O14" s="15">
        <f>((M14*$B$3)-(N14*J14))/K14</f>
        <v>1229.4270163285503</v>
      </c>
      <c r="P14" s="15">
        <f>(1-N14/M14)*100</f>
        <v>96.8</v>
      </c>
      <c r="Q14" s="15">
        <v>48.3</v>
      </c>
      <c r="R14" s="15">
        <f>$B$3-Q14</f>
        <v>201.7</v>
      </c>
      <c r="S14" s="15">
        <f>Q14/1000/$B$2</f>
        <v>32.991803278688522</v>
      </c>
      <c r="T14" s="15">
        <v>1000</v>
      </c>
      <c r="U14" s="15">
        <v>31.2</v>
      </c>
      <c r="V14" s="15">
        <f>((T14*$B$3)-(U14*Q14))/R14</f>
        <v>1231.993257312841</v>
      </c>
      <c r="W14" s="15">
        <f>(1-U14/T14)*100</f>
        <v>96.88</v>
      </c>
      <c r="X14" s="30">
        <f>AVERAGE(L14,S14)</f>
        <v>32.855191256830594</v>
      </c>
      <c r="Y14" s="30">
        <f>STDEV(L14,S14)</f>
        <v>0.19319857409468688</v>
      </c>
      <c r="Z14" s="30">
        <f>AVERAGE(P14,W14)</f>
        <v>96.84</v>
      </c>
      <c r="AA14" s="30">
        <f>STDEV(P14,W14)</f>
        <v>5.6568542494922595E-2</v>
      </c>
    </row>
    <row r="15" spans="1:35" x14ac:dyDescent="0.2">
      <c r="A15" s="15" t="s">
        <v>5</v>
      </c>
      <c r="B15" s="15">
        <v>12</v>
      </c>
      <c r="C15" s="15">
        <v>4</v>
      </c>
      <c r="D15" s="15">
        <v>0</v>
      </c>
      <c r="E15" s="15">
        <v>0</v>
      </c>
      <c r="F15" s="15" t="s">
        <v>104</v>
      </c>
      <c r="G15" s="15">
        <v>120</v>
      </c>
      <c r="H15" s="15">
        <v>2</v>
      </c>
      <c r="I15" s="15">
        <v>1</v>
      </c>
      <c r="J15" s="15">
        <v>47.3</v>
      </c>
      <c r="K15" s="15">
        <f>K14-J15</f>
        <v>154.80000000000001</v>
      </c>
      <c r="L15" s="15">
        <f t="shared" ref="L15:L17" si="0">J15/1000/$B$2</f>
        <v>32.308743169398902</v>
      </c>
      <c r="M15" s="15">
        <v>1184.4000000000001</v>
      </c>
      <c r="N15" s="15">
        <v>42.6</v>
      </c>
      <c r="O15" s="15">
        <f>((M15*K14)-(N15*J15))/K15</f>
        <v>1533.2833333333333</v>
      </c>
      <c r="P15" s="15">
        <f>(1-N15/M15)*100</f>
        <v>96.403242147922995</v>
      </c>
      <c r="Q15" s="15">
        <v>47.5</v>
      </c>
      <c r="R15" s="15">
        <f>R14-Q15</f>
        <v>154.19999999999999</v>
      </c>
      <c r="S15" s="15">
        <f t="shared" ref="S15:S17" si="1">Q15/1000/$B$2</f>
        <v>32.44535519125683</v>
      </c>
      <c r="T15" s="15">
        <v>1184.4000000000001</v>
      </c>
      <c r="U15" s="15">
        <v>42</v>
      </c>
      <c r="V15" s="15">
        <f>((T15*R14)-(U15*Q15))/R15</f>
        <v>1536.3066147859925</v>
      </c>
      <c r="W15" s="15">
        <f>(1-U15/T15)*100</f>
        <v>96.453900709219866</v>
      </c>
      <c r="X15" s="30">
        <f>AVERAGE(L15,S15)</f>
        <v>32.377049180327866</v>
      </c>
      <c r="Y15" s="30">
        <f>STDEV(L15,S15)</f>
        <v>9.6599287047345966E-2</v>
      </c>
      <c r="Z15" s="30">
        <f>AVERAGE(P15,W15)</f>
        <v>96.428571428571431</v>
      </c>
      <c r="AA15" s="30">
        <f>STDEV(P15,W15)</f>
        <v>3.5821012218171605E-2</v>
      </c>
      <c r="AB15" s="30">
        <f>L15/L12</f>
        <v>0.98541666666666661</v>
      </c>
      <c r="AC15" s="30">
        <f>S15/S12</f>
        <v>1</v>
      </c>
      <c r="AD15" s="30">
        <f>X15/X12</f>
        <v>0.99267015706806283</v>
      </c>
      <c r="AE15" s="30">
        <f>STDEV(AB15,AC15)</f>
        <v>1.031197389230386E-2</v>
      </c>
      <c r="AF15" s="30">
        <f>P15/P12</f>
        <v>0.99895929839289077</v>
      </c>
      <c r="AG15" s="30">
        <f>W15/W12</f>
        <v>1.0000093146816149</v>
      </c>
      <c r="AH15" s="30">
        <f>Z15/Z12</f>
        <v>0.99948416866746703</v>
      </c>
      <c r="AI15" s="30">
        <f>STDEV(AF15,AG15)</f>
        <v>7.4247363811317309E-4</v>
      </c>
    </row>
    <row r="16" spans="1:35" x14ac:dyDescent="0.2">
      <c r="A16" s="15" t="s">
        <v>1</v>
      </c>
      <c r="B16" s="15">
        <v>30</v>
      </c>
      <c r="C16" s="15">
        <v>4</v>
      </c>
      <c r="D16" s="15">
        <v>0</v>
      </c>
      <c r="E16" s="15">
        <v>0</v>
      </c>
      <c r="F16" s="15" t="s">
        <v>103</v>
      </c>
      <c r="G16" s="15">
        <v>60</v>
      </c>
      <c r="H16" s="15">
        <v>1</v>
      </c>
      <c r="I16" s="15">
        <v>1</v>
      </c>
      <c r="J16" s="15">
        <v>48.7</v>
      </c>
      <c r="K16" s="15">
        <f>$B$3-J16</f>
        <v>201.3</v>
      </c>
      <c r="L16" s="15">
        <f t="shared" si="0"/>
        <v>33.265027322404372</v>
      </c>
      <c r="M16" s="15">
        <v>1000</v>
      </c>
      <c r="N16" s="15">
        <v>12</v>
      </c>
      <c r="O16" s="15">
        <f>((M16*$B$3)-(N16*J16))/K16</f>
        <v>1239.0243417784402</v>
      </c>
      <c r="P16" s="15">
        <f t="shared" ref="P16:P17" si="2">(1-N16/M16)*100</f>
        <v>98.8</v>
      </c>
      <c r="Q16" s="15">
        <v>48.3</v>
      </c>
      <c r="R16" s="15">
        <f>$B$3-Q16</f>
        <v>201.7</v>
      </c>
      <c r="S16" s="15">
        <f t="shared" si="1"/>
        <v>32.991803278688522</v>
      </c>
      <c r="T16" s="15">
        <v>1000</v>
      </c>
      <c r="U16" s="15">
        <v>12.5</v>
      </c>
      <c r="V16" s="15">
        <f>((T16*$B$3)-(U16*Q16))/R16</f>
        <v>1236.4712444224097</v>
      </c>
      <c r="W16" s="15">
        <f t="shared" ref="W16:W17" si="3">(1-U16/T16)*100</f>
        <v>98.75</v>
      </c>
      <c r="X16" s="30">
        <f>AVERAGE(L16,S16)</f>
        <v>33.12841530054645</v>
      </c>
      <c r="Y16" s="30">
        <f>STDEV(L16,S16)</f>
        <v>0.19319857409468688</v>
      </c>
      <c r="Z16" s="30">
        <f>AVERAGE(P16,W16)</f>
        <v>98.775000000000006</v>
      </c>
      <c r="AA16" s="30">
        <f>STDEV(P16,W16)</f>
        <v>3.5355339059325371E-2</v>
      </c>
    </row>
    <row r="17" spans="1:35" x14ac:dyDescent="0.2">
      <c r="A17" s="15" t="s">
        <v>1</v>
      </c>
      <c r="B17" s="15">
        <v>30</v>
      </c>
      <c r="C17" s="15">
        <v>4</v>
      </c>
      <c r="D17" s="15">
        <v>0</v>
      </c>
      <c r="E17" s="15">
        <v>0</v>
      </c>
      <c r="F17" s="15" t="s">
        <v>103</v>
      </c>
      <c r="G17" s="15">
        <v>120</v>
      </c>
      <c r="H17" s="15">
        <v>2</v>
      </c>
      <c r="I17" s="15">
        <v>1</v>
      </c>
      <c r="J17" s="15">
        <v>48</v>
      </c>
      <c r="K17" s="15">
        <f>K16-J17</f>
        <v>153.30000000000001</v>
      </c>
      <c r="L17" s="15">
        <f t="shared" si="0"/>
        <v>32.786885245901637</v>
      </c>
      <c r="M17" s="15">
        <v>1186.7</v>
      </c>
      <c r="N17" s="15">
        <v>23.7</v>
      </c>
      <c r="O17" s="15">
        <f>((M17*K16)-(N17*J17))/K17</f>
        <v>1550.8487279843444</v>
      </c>
      <c r="P17" s="15">
        <f t="shared" si="2"/>
        <v>98.002865088059323</v>
      </c>
      <c r="Q17" s="15">
        <v>48.5</v>
      </c>
      <c r="R17" s="15">
        <f>R16-Q17</f>
        <v>153.19999999999999</v>
      </c>
      <c r="S17" s="15">
        <f t="shared" si="1"/>
        <v>33.12841530054645</v>
      </c>
      <c r="T17" s="15">
        <v>1186.7</v>
      </c>
      <c r="U17" s="15">
        <v>23.8</v>
      </c>
      <c r="V17" s="15">
        <f>((T17*R16)-(U17*Q17))/R17</f>
        <v>1554.8504569190602</v>
      </c>
      <c r="W17" s="15">
        <f t="shared" si="3"/>
        <v>97.994438358473076</v>
      </c>
      <c r="X17" s="30">
        <f>AVERAGE(L17,S17)</f>
        <v>32.957650273224047</v>
      </c>
      <c r="Y17" s="30">
        <f>STDEV(L17,S17)</f>
        <v>0.24149821761835988</v>
      </c>
      <c r="Z17" s="30">
        <f>AVERAGE(P17,W17)</f>
        <v>97.998651723266192</v>
      </c>
      <c r="AA17" s="30">
        <f>STDEV(P17,W17)</f>
        <v>5.9585976336608898E-3</v>
      </c>
    </row>
    <row r="18" spans="1:35" x14ac:dyDescent="0.2">
      <c r="A18" s="15" t="s">
        <v>1</v>
      </c>
      <c r="B18" s="15">
        <v>30</v>
      </c>
      <c r="C18" s="15">
        <v>4</v>
      </c>
      <c r="D18" s="15">
        <v>0</v>
      </c>
      <c r="E18" s="15">
        <v>0</v>
      </c>
      <c r="F18" s="15" t="s">
        <v>77</v>
      </c>
      <c r="G18" s="15">
        <v>0</v>
      </c>
      <c r="H18" s="15">
        <v>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35" x14ac:dyDescent="0.2">
      <c r="A19" s="15" t="s">
        <v>1</v>
      </c>
      <c r="B19" s="15">
        <v>30</v>
      </c>
      <c r="C19" s="15">
        <v>4</v>
      </c>
      <c r="D19" s="15">
        <v>0</v>
      </c>
      <c r="E19" s="15">
        <v>0</v>
      </c>
      <c r="F19" s="15" t="s">
        <v>104</v>
      </c>
      <c r="G19" s="15">
        <v>60</v>
      </c>
      <c r="H19" s="15">
        <v>1</v>
      </c>
      <c r="I19" s="15">
        <v>1</v>
      </c>
      <c r="J19" s="15">
        <v>48.6</v>
      </c>
      <c r="K19" s="15">
        <f>$B$3-J19</f>
        <v>201.4</v>
      </c>
      <c r="L19" s="15">
        <f>J19/1000/$B$2</f>
        <v>33.196721311475414</v>
      </c>
      <c r="M19" s="15">
        <v>1000</v>
      </c>
      <c r="N19" s="15">
        <v>14</v>
      </c>
      <c r="O19" s="15">
        <f>((M19*$B$3)-(N19*J19))/K19</f>
        <v>1237.9324726911618</v>
      </c>
      <c r="P19" s="15">
        <f>(1-N19/M19)*100</f>
        <v>98.6</v>
      </c>
      <c r="Q19" s="15">
        <v>48.1</v>
      </c>
      <c r="R19" s="15">
        <f>$B$3-Q19</f>
        <v>201.9</v>
      </c>
      <c r="S19" s="15">
        <f>Q19/1000/$B$2</f>
        <v>32.855191256830601</v>
      </c>
      <c r="T19" s="15">
        <v>1000</v>
      </c>
      <c r="U19" s="15">
        <v>14.2</v>
      </c>
      <c r="V19" s="15">
        <f>((T19*$B$3)-(U19*Q19))/R19</f>
        <v>1234.8537890044577</v>
      </c>
      <c r="W19" s="15">
        <f>(1-U19/T19)*100</f>
        <v>98.58</v>
      </c>
      <c r="X19" s="30">
        <f>AVERAGE(L19,S19)</f>
        <v>33.025956284153011</v>
      </c>
      <c r="Y19" s="30">
        <f>STDEV(L19,S19)</f>
        <v>0.24149821761835988</v>
      </c>
      <c r="Z19" s="30">
        <f>AVERAGE(P19,W19)</f>
        <v>98.59</v>
      </c>
      <c r="AA19" s="30">
        <f>STDEV(P19,W19)</f>
        <v>1.4142135623728137E-2</v>
      </c>
    </row>
    <row r="20" spans="1:35" x14ac:dyDescent="0.2">
      <c r="A20" s="15" t="s">
        <v>1</v>
      </c>
      <c r="B20" s="15">
        <v>30</v>
      </c>
      <c r="C20" s="15">
        <v>4</v>
      </c>
      <c r="D20" s="15">
        <v>0</v>
      </c>
      <c r="E20" s="15">
        <v>0</v>
      </c>
      <c r="F20" s="15" t="s">
        <v>104</v>
      </c>
      <c r="G20" s="15">
        <v>120</v>
      </c>
      <c r="H20" s="15">
        <v>2</v>
      </c>
      <c r="I20" s="15">
        <v>1</v>
      </c>
      <c r="J20" s="15">
        <v>47.9</v>
      </c>
      <c r="K20" s="15">
        <f>K19-J20</f>
        <v>153.5</v>
      </c>
      <c r="L20" s="15">
        <f t="shared" ref="L20:L22" si="4">J20/1000/$B$2</f>
        <v>32.718579234972673</v>
      </c>
      <c r="M20" s="15">
        <v>1185.3</v>
      </c>
      <c r="N20" s="15">
        <v>23.7</v>
      </c>
      <c r="O20" s="15">
        <f>((M20*K19)-(N20*J20))/K20</f>
        <v>1547.7797394136805</v>
      </c>
      <c r="P20" s="15">
        <f>(1-N20/M20)*100</f>
        <v>98.00050620096178</v>
      </c>
      <c r="Q20" s="15">
        <v>48.4</v>
      </c>
      <c r="R20" s="15">
        <f>R19-Q20</f>
        <v>153.5</v>
      </c>
      <c r="S20" s="15">
        <f t="shared" ref="S20:S22" si="5">Q20/1000/$B$2</f>
        <v>33.060109289617486</v>
      </c>
      <c r="T20" s="15">
        <v>1185.3</v>
      </c>
      <c r="U20" s="15">
        <v>24</v>
      </c>
      <c r="V20" s="15">
        <f>((T20*R19)-(U20*Q20))/R20</f>
        <v>1551.4688599348535</v>
      </c>
      <c r="W20" s="15">
        <f>(1-U20/T20)*100</f>
        <v>97.975196152872684</v>
      </c>
      <c r="X20" s="30">
        <f>AVERAGE(L20,S20)</f>
        <v>32.889344262295083</v>
      </c>
      <c r="Y20" s="30">
        <f>STDEV(L20,S20)</f>
        <v>0.24149821761835988</v>
      </c>
      <c r="Z20" s="30">
        <f>AVERAGE(P20,W20)</f>
        <v>97.987851176917232</v>
      </c>
      <c r="AA20" s="30">
        <f>STDEV(P20,W20)</f>
        <v>1.7896906635957704E-2</v>
      </c>
      <c r="AB20" s="30">
        <f>L20/L17</f>
        <v>0.99791666666666656</v>
      </c>
      <c r="AC20" s="30">
        <f>S20/S17</f>
        <v>0.9979381443298968</v>
      </c>
      <c r="AD20" s="30">
        <f>X20/X17</f>
        <v>0.99792746113989628</v>
      </c>
      <c r="AE20" s="30">
        <f>STDEV(AB20,AC20)</f>
        <v>1.5187001314144008E-5</v>
      </c>
      <c r="AF20" s="30">
        <f>P20/P17</f>
        <v>0.99997593042718269</v>
      </c>
      <c r="AG20" s="30">
        <f>W20/W17</f>
        <v>0.99980363981953746</v>
      </c>
      <c r="AH20" s="30">
        <f>Z20/Z17</f>
        <v>0.99988978882710078</v>
      </c>
      <c r="AI20" s="30">
        <f>STDEV(AF20,AG20)</f>
        <v>1.2182785700069388E-4</v>
      </c>
    </row>
    <row r="21" spans="1:35" x14ac:dyDescent="0.2">
      <c r="A21" s="15" t="s">
        <v>0</v>
      </c>
      <c r="B21" s="15">
        <v>30</v>
      </c>
      <c r="C21" s="15">
        <v>4</v>
      </c>
      <c r="D21" s="15">
        <v>0</v>
      </c>
      <c r="E21" s="15">
        <v>0</v>
      </c>
      <c r="F21" s="15" t="s">
        <v>103</v>
      </c>
      <c r="G21" s="15">
        <v>60</v>
      </c>
      <c r="H21" s="15">
        <v>1</v>
      </c>
      <c r="I21" s="15">
        <v>1</v>
      </c>
      <c r="J21" s="15">
        <v>48</v>
      </c>
      <c r="K21" s="15">
        <f>$B$3-J21</f>
        <v>202</v>
      </c>
      <c r="L21" s="15">
        <f t="shared" si="4"/>
        <v>32.786885245901637</v>
      </c>
      <c r="M21" s="15">
        <v>1000</v>
      </c>
      <c r="N21" s="15">
        <v>19</v>
      </c>
      <c r="O21" s="15">
        <f>((M21*$B$3)-(N21*J21))/K21</f>
        <v>1233.1089108910892</v>
      </c>
      <c r="P21" s="15">
        <f t="shared" ref="P21:P22" si="6">(1-N21/M21)*100</f>
        <v>98.1</v>
      </c>
      <c r="Q21" s="15">
        <v>49.2</v>
      </c>
      <c r="R21" s="15">
        <f>$B$3-Q21</f>
        <v>200.8</v>
      </c>
      <c r="S21" s="15">
        <f t="shared" si="5"/>
        <v>33.606557377049178</v>
      </c>
      <c r="T21" s="15">
        <v>1000</v>
      </c>
      <c r="U21" s="15">
        <v>20</v>
      </c>
      <c r="V21" s="15">
        <f>((T21*$B$3)-(U21*Q21))/R21</f>
        <v>1240.1195219123506</v>
      </c>
      <c r="W21" s="15">
        <f t="shared" ref="W21:W22" si="7">(1-U21/T21)*100</f>
        <v>98</v>
      </c>
      <c r="X21" s="30">
        <f>AVERAGE(L21,S21)</f>
        <v>33.196721311475407</v>
      </c>
      <c r="Y21" s="30">
        <f>STDEV(L21,S21)</f>
        <v>0.57959572228405565</v>
      </c>
      <c r="Z21" s="30">
        <f>AVERAGE(P21,W21)</f>
        <v>98.05</v>
      </c>
      <c r="AA21" s="30">
        <f>STDEV(P21,W21)</f>
        <v>7.0710678118650741E-2</v>
      </c>
    </row>
    <row r="22" spans="1:35" x14ac:dyDescent="0.2">
      <c r="A22" s="15" t="s">
        <v>0</v>
      </c>
      <c r="B22" s="15">
        <v>30</v>
      </c>
      <c r="C22" s="15">
        <v>4</v>
      </c>
      <c r="D22" s="15">
        <v>0</v>
      </c>
      <c r="E22" s="15">
        <v>0</v>
      </c>
      <c r="F22" s="15" t="s">
        <v>103</v>
      </c>
      <c r="G22" s="15">
        <v>120</v>
      </c>
      <c r="H22" s="15">
        <v>2</v>
      </c>
      <c r="I22" s="15">
        <v>1</v>
      </c>
      <c r="J22" s="15">
        <v>48.2</v>
      </c>
      <c r="K22" s="15">
        <f>K21-J22</f>
        <v>153.80000000000001</v>
      </c>
      <c r="L22" s="15">
        <f t="shared" si="4"/>
        <v>32.923497267759565</v>
      </c>
      <c r="M22" s="15">
        <v>1186.0999999999999</v>
      </c>
      <c r="N22" s="15">
        <v>17.8</v>
      </c>
      <c r="O22" s="15">
        <f>((M22*K21)-(N22*J22))/K22</f>
        <v>1552.2382314694407</v>
      </c>
      <c r="P22" s="15">
        <f t="shared" si="6"/>
        <v>98.499283365652133</v>
      </c>
      <c r="Q22" s="15">
        <v>48.5</v>
      </c>
      <c r="R22" s="15">
        <f>R21-Q22</f>
        <v>152.30000000000001</v>
      </c>
      <c r="S22" s="15">
        <f t="shared" si="5"/>
        <v>33.12841530054645</v>
      </c>
      <c r="T22" s="15">
        <v>1186.0999999999999</v>
      </c>
      <c r="U22" s="15">
        <v>18.2</v>
      </c>
      <c r="V22" s="15">
        <f>((T22*R21)-(U22*Q22))/R22</f>
        <v>1558.0182534471437</v>
      </c>
      <c r="W22" s="15">
        <f t="shared" si="7"/>
        <v>98.46555939634095</v>
      </c>
      <c r="X22" s="30">
        <f>AVERAGE(L22,S22)</f>
        <v>33.025956284153011</v>
      </c>
      <c r="Y22" s="30">
        <f>STDEV(L22,S22)</f>
        <v>0.14489893057101391</v>
      </c>
      <c r="Z22" s="30">
        <f>AVERAGE(P22,W22)</f>
        <v>98.482421380996541</v>
      </c>
      <c r="AA22" s="30">
        <f>STDEV(P22,W22)</f>
        <v>2.384644738846424E-2</v>
      </c>
    </row>
    <row r="23" spans="1:35" x14ac:dyDescent="0.2">
      <c r="A23" s="15" t="s">
        <v>0</v>
      </c>
      <c r="B23" s="15">
        <v>30</v>
      </c>
      <c r="C23" s="15">
        <v>4</v>
      </c>
      <c r="D23" s="15">
        <v>0</v>
      </c>
      <c r="E23" s="15">
        <v>0</v>
      </c>
      <c r="F23" s="15" t="s">
        <v>77</v>
      </c>
      <c r="G23" s="15">
        <v>0</v>
      </c>
      <c r="H23" s="15">
        <v>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35" x14ac:dyDescent="0.2">
      <c r="A24" s="15" t="s">
        <v>0</v>
      </c>
      <c r="B24" s="15">
        <v>30</v>
      </c>
      <c r="C24" s="15">
        <v>4</v>
      </c>
      <c r="D24" s="15">
        <v>0</v>
      </c>
      <c r="E24" s="15">
        <v>0</v>
      </c>
      <c r="F24" s="15" t="s">
        <v>104</v>
      </c>
      <c r="G24" s="15">
        <v>60</v>
      </c>
      <c r="H24" s="15">
        <v>1</v>
      </c>
      <c r="I24" s="15">
        <v>1</v>
      </c>
      <c r="J24" s="15">
        <v>48.5</v>
      </c>
      <c r="K24" s="15">
        <f>($B$3-J24)</f>
        <v>201.5</v>
      </c>
      <c r="L24" s="15">
        <f>J24/1000/$B$2</f>
        <v>33.12841530054645</v>
      </c>
      <c r="M24" s="15">
        <v>1000</v>
      </c>
      <c r="N24" s="15">
        <v>8</v>
      </c>
      <c r="O24" s="15">
        <f>((M24*$B$3)-(N24*J24))/K24</f>
        <v>1238.7692307692307</v>
      </c>
      <c r="P24" s="15">
        <f>(1-N24/M24)*100</f>
        <v>99.2</v>
      </c>
      <c r="Q24" s="15">
        <v>49</v>
      </c>
      <c r="R24" s="15">
        <f>($B$3-Q24)</f>
        <v>201</v>
      </c>
      <c r="S24" s="15">
        <f>Q24/1000/$B$2</f>
        <v>33.469945355191257</v>
      </c>
      <c r="T24" s="15">
        <v>1000</v>
      </c>
      <c r="U24" s="15">
        <v>8.6</v>
      </c>
      <c r="V24" s="15">
        <f>((T24*$B$3)-(U24*Q24))/R24</f>
        <v>1241.6845771144278</v>
      </c>
      <c r="W24" s="15">
        <f>(1-U24/T24)*100</f>
        <v>99.14</v>
      </c>
      <c r="X24" s="30">
        <f>AVERAGE(L24,S24)</f>
        <v>33.299180327868854</v>
      </c>
      <c r="Y24" s="30">
        <f>STDEV(L24,S24)</f>
        <v>0.24149821761835485</v>
      </c>
      <c r="Z24" s="30">
        <f>AVERAGE(P24,W24)</f>
        <v>99.17</v>
      </c>
      <c r="AA24" s="30">
        <f>STDEV(P24,W24)</f>
        <v>4.2426406871194457E-2</v>
      </c>
    </row>
    <row r="25" spans="1:35" x14ac:dyDescent="0.2">
      <c r="A25" s="15" t="s">
        <v>0</v>
      </c>
      <c r="B25" s="15">
        <v>30</v>
      </c>
      <c r="C25" s="15">
        <v>4</v>
      </c>
      <c r="D25" s="15">
        <v>0</v>
      </c>
      <c r="E25" s="15">
        <v>0</v>
      </c>
      <c r="F25" s="15" t="s">
        <v>104</v>
      </c>
      <c r="G25" s="15">
        <v>120</v>
      </c>
      <c r="H25" s="15">
        <v>2</v>
      </c>
      <c r="I25" s="15">
        <v>1</v>
      </c>
      <c r="J25" s="15">
        <v>48.8</v>
      </c>
      <c r="K25" s="15">
        <f>K24-J25</f>
        <v>152.69999999999999</v>
      </c>
      <c r="L25" s="15">
        <f>J25/1000/$B$2</f>
        <v>33.333333333333329</v>
      </c>
      <c r="M25" s="15">
        <v>1188.3</v>
      </c>
      <c r="N25" s="15">
        <v>19</v>
      </c>
      <c r="O25" s="15">
        <f>((M25*K24)-(N25*J25))/K25</f>
        <v>1561.9859201047805</v>
      </c>
      <c r="P25" s="15">
        <f>(1-N25/M25)*100</f>
        <v>98.401077169065047</v>
      </c>
      <c r="Q25" s="15">
        <v>48.2</v>
      </c>
      <c r="R25" s="15">
        <f>R24-Q25</f>
        <v>152.80000000000001</v>
      </c>
      <c r="S25" s="15">
        <f>Q25/1000/$B$2</f>
        <v>32.923497267759565</v>
      </c>
      <c r="T25" s="15">
        <v>1188.3</v>
      </c>
      <c r="U25" s="15">
        <v>19.5</v>
      </c>
      <c r="V25" s="15">
        <f>((T25*R24)-(U25*Q25))/R25</f>
        <v>1556.9921465968584</v>
      </c>
      <c r="W25" s="15">
        <f>(1-U25/T25)*100</f>
        <v>98.359000252461499</v>
      </c>
      <c r="X25" s="30">
        <f>AVERAGE(L25,S25)</f>
        <v>33.12841530054645</v>
      </c>
      <c r="Y25" s="30">
        <f>STDEV(L25,S25)</f>
        <v>0.28979786114202283</v>
      </c>
      <c r="Z25" s="30">
        <f>AVERAGE(P25,W25)</f>
        <v>98.380038710763273</v>
      </c>
      <c r="AA25" s="30">
        <f>STDEV(P25,W25)</f>
        <v>2.9752873061789906E-2</v>
      </c>
      <c r="AB25" s="30">
        <f>L25/L22</f>
        <v>1.0124481327800827</v>
      </c>
      <c r="AC25" s="30">
        <f>S25/S22</f>
        <v>0.99381443298969074</v>
      </c>
      <c r="AD25" s="30">
        <f>X25/X22</f>
        <v>1.0031023784901758</v>
      </c>
      <c r="AE25" s="30">
        <f>STDEV(AB25,AC25)</f>
        <v>1.3176015480380518E-2</v>
      </c>
      <c r="AF25" s="30">
        <f>P25/P22</f>
        <v>0.9990029755219384</v>
      </c>
      <c r="AG25" s="30">
        <f>W25/W22</f>
        <v>0.99891780288932774</v>
      </c>
      <c r="AH25" s="30">
        <f>Z25/Z22</f>
        <v>0.99896039649718615</v>
      </c>
      <c r="AI25" s="30">
        <f>STDEV(AF25,AG25)</f>
        <v>6.022614609050306E-5</v>
      </c>
    </row>
    <row r="26" spans="1:35" x14ac:dyDescent="0.2">
      <c r="A26" s="38" t="s">
        <v>78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spans="1:35" x14ac:dyDescent="0.2">
      <c r="A27" s="15" t="s">
        <v>5</v>
      </c>
      <c r="B27" s="15">
        <v>12</v>
      </c>
      <c r="C27" s="15">
        <v>4</v>
      </c>
      <c r="D27" s="15">
        <v>1000</v>
      </c>
      <c r="E27" s="15">
        <v>4</v>
      </c>
      <c r="F27" s="15" t="s">
        <v>103</v>
      </c>
      <c r="G27" s="15">
        <v>60</v>
      </c>
      <c r="H27" s="15">
        <v>1</v>
      </c>
      <c r="I27" s="15">
        <v>1</v>
      </c>
      <c r="J27" s="15">
        <v>48.3</v>
      </c>
      <c r="K27" s="15">
        <f>($B$3-J27)</f>
        <v>201.7</v>
      </c>
      <c r="L27" s="15">
        <f>J27/1000/$B$2</f>
        <v>32.991803278688522</v>
      </c>
      <c r="M27" s="15">
        <v>1000</v>
      </c>
      <c r="N27" s="15">
        <v>23</v>
      </c>
      <c r="O27" s="15">
        <f>((M27*$B$3)-(N27*J27))/K27</f>
        <v>1233.9568666336145</v>
      </c>
      <c r="P27" s="15">
        <f>(1-N27/M27)*100</f>
        <v>97.7</v>
      </c>
      <c r="Q27" s="15">
        <v>47.9</v>
      </c>
      <c r="R27" s="15">
        <f>($B$3-Q27)</f>
        <v>202.1</v>
      </c>
      <c r="S27" s="15">
        <f>Q27/1000/$B$2</f>
        <v>32.718579234972673</v>
      </c>
      <c r="T27" s="15">
        <v>1000</v>
      </c>
      <c r="U27" s="15">
        <v>23</v>
      </c>
      <c r="V27" s="15">
        <f>((T27*$B$3)-(U27*Q27))/R27</f>
        <v>1231.5601187530924</v>
      </c>
      <c r="W27" s="15">
        <f>(1-U27/T27)*100</f>
        <v>97.7</v>
      </c>
      <c r="X27" s="30">
        <f>AVERAGE(L27,S27)</f>
        <v>32.855191256830594</v>
      </c>
      <c r="Y27" s="30">
        <f>STDEV(L27,S27)</f>
        <v>0.19319857409468688</v>
      </c>
      <c r="Z27" s="30">
        <f>AVERAGE(P27,W27)</f>
        <v>97.7</v>
      </c>
      <c r="AA27" s="30">
        <f>STDEV(P27,W27)</f>
        <v>0</v>
      </c>
    </row>
    <row r="28" spans="1:35" x14ac:dyDescent="0.2">
      <c r="A28" s="15" t="s">
        <v>5</v>
      </c>
      <c r="B28" s="15">
        <v>12</v>
      </c>
      <c r="C28" s="15">
        <v>4</v>
      </c>
      <c r="D28" s="15">
        <v>1000</v>
      </c>
      <c r="E28" s="15">
        <v>4</v>
      </c>
      <c r="F28" s="15" t="s">
        <v>103</v>
      </c>
      <c r="G28" s="15">
        <v>120</v>
      </c>
      <c r="H28" s="15">
        <v>2</v>
      </c>
      <c r="I28" s="15">
        <v>1</v>
      </c>
      <c r="J28" s="15">
        <v>47.6</v>
      </c>
      <c r="K28" s="15">
        <f>K27-J28</f>
        <v>154.1</v>
      </c>
      <c r="L28" s="15">
        <f>J28/1000/$B$2</f>
        <v>32.513661202185794</v>
      </c>
      <c r="M28" s="15">
        <v>1183</v>
      </c>
      <c r="N28" s="15">
        <v>36.700000000000003</v>
      </c>
      <c r="O28" s="15">
        <f>((M28*K27)-(N28*J28))/K28</f>
        <v>1537.0809863724853</v>
      </c>
      <c r="P28" s="15">
        <f>(1-N28/M28)*100</f>
        <v>96.897717666948438</v>
      </c>
      <c r="Q28" s="15">
        <v>48.1</v>
      </c>
      <c r="R28" s="15">
        <f>R27-Q28</f>
        <v>154</v>
      </c>
      <c r="S28" s="15">
        <f>Q28/1000/$B$2</f>
        <v>32.855191256830601</v>
      </c>
      <c r="T28" s="15">
        <v>1185.9000000000001</v>
      </c>
      <c r="U28" s="15">
        <v>32</v>
      </c>
      <c r="V28" s="15">
        <f>((T28*R27)-(U28*Q28))/R28</f>
        <v>1546.3064285714286</v>
      </c>
      <c r="W28" s="15">
        <f>(1-U28/T28)*100</f>
        <v>97.301627455940633</v>
      </c>
      <c r="X28" s="30">
        <f>AVERAGE(L28,S28)</f>
        <v>32.684426229508198</v>
      </c>
      <c r="Y28" s="30">
        <f>STDEV(L28,S28)</f>
        <v>0.24149821761835485</v>
      </c>
      <c r="Z28" s="30">
        <f>AVERAGE(P28,W28)</f>
        <v>97.099672561444535</v>
      </c>
      <c r="AA28" s="30">
        <f>STDEV(P28,W28)</f>
        <v>0.28560735078400845</v>
      </c>
    </row>
    <row r="29" spans="1:35" x14ac:dyDescent="0.2">
      <c r="A29" s="15" t="s">
        <v>5</v>
      </c>
      <c r="B29" s="15">
        <v>12</v>
      </c>
      <c r="C29" s="15">
        <v>4</v>
      </c>
      <c r="D29" s="15">
        <v>1000</v>
      </c>
      <c r="E29" s="15">
        <v>4</v>
      </c>
      <c r="F29" s="15" t="s">
        <v>79</v>
      </c>
      <c r="G29" s="15">
        <v>240</v>
      </c>
      <c r="H29" s="15">
        <v>4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35" x14ac:dyDescent="0.2">
      <c r="A30" s="15" t="s">
        <v>5</v>
      </c>
      <c r="B30" s="15">
        <v>12</v>
      </c>
      <c r="C30" s="15">
        <v>4</v>
      </c>
      <c r="D30" s="15">
        <v>1000</v>
      </c>
      <c r="E30" s="15">
        <v>4</v>
      </c>
      <c r="F30" s="15" t="s">
        <v>104</v>
      </c>
      <c r="G30" s="15">
        <v>60</v>
      </c>
      <c r="H30" s="15">
        <v>1</v>
      </c>
      <c r="I30" s="15">
        <v>1</v>
      </c>
      <c r="J30" s="15">
        <v>81.900000000000006</v>
      </c>
      <c r="K30" s="15">
        <f>$B$3-J30</f>
        <v>168.1</v>
      </c>
      <c r="L30" s="15">
        <f>J30/1000/$B$2</f>
        <v>55.942622950819668</v>
      </c>
      <c r="M30" s="15">
        <v>1000</v>
      </c>
      <c r="N30" s="15">
        <v>316.3</v>
      </c>
      <c r="O30" s="15">
        <f>((M30*$B$3)-(N30*J30))/K30</f>
        <v>1333.1054729327782</v>
      </c>
      <c r="P30" s="15">
        <f>(1-N30/M30)*100</f>
        <v>68.37</v>
      </c>
      <c r="Q30" s="15">
        <v>81.5</v>
      </c>
      <c r="R30" s="15">
        <f>$B$3-Q30</f>
        <v>168.5</v>
      </c>
      <c r="S30" s="15">
        <f>Q30/1000/$B$2</f>
        <v>55.669398907103826</v>
      </c>
      <c r="T30" s="15">
        <v>1000</v>
      </c>
      <c r="U30" s="15">
        <v>310.3</v>
      </c>
      <c r="V30" s="15">
        <f>((T30*$B$3)-(U30*Q30))/R30</f>
        <v>1333.593768545994</v>
      </c>
      <c r="W30" s="15">
        <f>(1-U30/T30)*100</f>
        <v>68.97</v>
      </c>
      <c r="X30" s="30">
        <f>AVERAGE(L30,S30)</f>
        <v>55.806010928961747</v>
      </c>
      <c r="Y30" s="30">
        <f>STDEV(L30,S30)</f>
        <v>0.19319857409468189</v>
      </c>
      <c r="Z30" s="30">
        <f>AVERAGE(P30,W30)</f>
        <v>68.67</v>
      </c>
      <c r="AA30" s="30">
        <f>STDEV(P30,W30)</f>
        <v>0.42426406871192446</v>
      </c>
    </row>
    <row r="31" spans="1:35" x14ac:dyDescent="0.2">
      <c r="A31" s="15" t="s">
        <v>5</v>
      </c>
      <c r="B31" s="15">
        <v>12</v>
      </c>
      <c r="C31" s="15">
        <v>4</v>
      </c>
      <c r="D31" s="15">
        <v>1000</v>
      </c>
      <c r="E31" s="15">
        <v>4</v>
      </c>
      <c r="F31" s="15" t="s">
        <v>104</v>
      </c>
      <c r="G31" s="15">
        <v>120</v>
      </c>
      <c r="H31" s="15">
        <v>2</v>
      </c>
      <c r="I31" s="15">
        <v>1</v>
      </c>
      <c r="J31" s="15">
        <v>81.099999999999994</v>
      </c>
      <c r="K31" s="15">
        <f>K30-J31</f>
        <v>87</v>
      </c>
      <c r="L31" s="15">
        <f t="shared" ref="L31:L33" si="8">J31/1000/$B$2</f>
        <v>55.396174863387969</v>
      </c>
      <c r="M31" s="15">
        <v>1249.7</v>
      </c>
      <c r="N31" s="15">
        <v>402.8</v>
      </c>
      <c r="O31" s="15">
        <f>((M31*K30)-(N31*J31))/K31</f>
        <v>2039.1665517241381</v>
      </c>
      <c r="P31" s="15">
        <f>(1-N31/M31)*100</f>
        <v>67.768264383452021</v>
      </c>
      <c r="Q31" s="15">
        <v>81.599999999999994</v>
      </c>
      <c r="R31" s="15">
        <f>R30-Q31</f>
        <v>86.9</v>
      </c>
      <c r="S31" s="15">
        <f t="shared" ref="S31:S33" si="9">Q31/1000/$B$2</f>
        <v>55.737704918032783</v>
      </c>
      <c r="T31" s="15">
        <v>1254.0999999999999</v>
      </c>
      <c r="U31" s="15">
        <v>399.2</v>
      </c>
      <c r="V31" s="15">
        <f>((T31*R30)-(U31*Q31))/R31</f>
        <v>2056.8599539700799</v>
      </c>
      <c r="W31" s="15">
        <f>(1-U31/T31)*100</f>
        <v>68.168407622996568</v>
      </c>
      <c r="X31" s="30">
        <f>AVERAGE(L31,S31)</f>
        <v>55.566939890710373</v>
      </c>
      <c r="Y31" s="30">
        <f>STDEV(L31,S31)</f>
        <v>0.24149821761835988</v>
      </c>
      <c r="Z31" s="30">
        <f>AVERAGE(P31,W31)</f>
        <v>67.968336003224294</v>
      </c>
      <c r="AA31" s="30">
        <f>STDEV(P31,W31)</f>
        <v>0.28294399812790272</v>
      </c>
      <c r="AB31" s="30">
        <f>L31/L28</f>
        <v>1.7037815126050417</v>
      </c>
      <c r="AC31" s="30">
        <f>S31/S28</f>
        <v>1.6964656964656963</v>
      </c>
      <c r="AD31" s="30">
        <f>X31/X28</f>
        <v>1.7001044932079412</v>
      </c>
      <c r="AE31" s="30">
        <f>STDEV(AB31,AC31)</f>
        <v>5.1730632020451197E-3</v>
      </c>
      <c r="AF31" s="30">
        <f>P31/P28</f>
        <v>0.69937936635805409</v>
      </c>
      <c r="AG31" s="30">
        <f>W31/W28</f>
        <v>0.70058856573456652</v>
      </c>
      <c r="AH31" s="30">
        <f>Z31/Z28</f>
        <v>0.69998522353630011</v>
      </c>
      <c r="AI31" s="30">
        <f>STDEV(AF31,AG31)</f>
        <v>8.55033078938482E-4</v>
      </c>
    </row>
    <row r="32" spans="1:35" x14ac:dyDescent="0.2">
      <c r="A32" s="15" t="s">
        <v>1</v>
      </c>
      <c r="B32" s="15">
        <v>30</v>
      </c>
      <c r="C32" s="15">
        <v>4</v>
      </c>
      <c r="D32" s="15">
        <v>1000</v>
      </c>
      <c r="E32" s="15">
        <v>4</v>
      </c>
      <c r="F32" s="15" t="s">
        <v>103</v>
      </c>
      <c r="G32" s="15">
        <v>60</v>
      </c>
      <c r="H32" s="15">
        <v>1</v>
      </c>
      <c r="I32" s="15">
        <v>1</v>
      </c>
      <c r="J32" s="15">
        <v>48.3</v>
      </c>
      <c r="K32" s="15">
        <f>$B$3-J32</f>
        <v>201.7</v>
      </c>
      <c r="L32" s="15">
        <f t="shared" si="8"/>
        <v>32.991803278688522</v>
      </c>
      <c r="M32" s="15">
        <v>1000</v>
      </c>
      <c r="N32" s="15">
        <v>18</v>
      </c>
      <c r="O32" s="15">
        <f>((M32*$B$3)-(N32*J32))/K32</f>
        <v>1235.1541893901835</v>
      </c>
      <c r="P32" s="15">
        <f t="shared" ref="P32:P33" si="10">(1-N32/M32)*100</f>
        <v>98.2</v>
      </c>
      <c r="Q32" s="15">
        <v>48.9</v>
      </c>
      <c r="R32" s="15">
        <f>$B$3-Q32</f>
        <v>201.1</v>
      </c>
      <c r="S32" s="15">
        <f t="shared" si="9"/>
        <v>33.401639344262293</v>
      </c>
      <c r="T32" s="15">
        <v>1000</v>
      </c>
      <c r="U32" s="15">
        <v>18</v>
      </c>
      <c r="V32" s="15">
        <f>((T32*$B$3)-(U32*Q32))/R32</f>
        <v>1238.7856787667827</v>
      </c>
      <c r="W32" s="15">
        <f t="shared" ref="W32:W33" si="11">(1-U32/T32)*100</f>
        <v>98.2</v>
      </c>
      <c r="X32" s="30">
        <f>AVERAGE(L32,S32)</f>
        <v>33.196721311475407</v>
      </c>
      <c r="Y32" s="30">
        <f>STDEV(L32,S32)</f>
        <v>0.28979786114202782</v>
      </c>
      <c r="Z32" s="30">
        <f>AVERAGE(P32,W32)</f>
        <v>98.2</v>
      </c>
      <c r="AA32" s="30">
        <f>STDEV(P32,W32)</f>
        <v>0</v>
      </c>
    </row>
    <row r="33" spans="1:35" x14ac:dyDescent="0.2">
      <c r="A33" s="15" t="s">
        <v>1</v>
      </c>
      <c r="B33" s="15">
        <v>30</v>
      </c>
      <c r="C33" s="15">
        <v>4</v>
      </c>
      <c r="D33" s="15">
        <v>1000</v>
      </c>
      <c r="E33" s="15">
        <v>4</v>
      </c>
      <c r="F33" s="15" t="s">
        <v>103</v>
      </c>
      <c r="G33" s="15">
        <v>120</v>
      </c>
      <c r="H33" s="15">
        <v>2</v>
      </c>
      <c r="I33" s="15">
        <v>1</v>
      </c>
      <c r="J33" s="15">
        <v>48.5</v>
      </c>
      <c r="K33" s="15">
        <f>K32-J33</f>
        <v>153.19999999999999</v>
      </c>
      <c r="L33" s="15">
        <f t="shared" si="8"/>
        <v>33.12841530054645</v>
      </c>
      <c r="M33" s="15">
        <v>1185.4000000000001</v>
      </c>
      <c r="N33" s="15">
        <v>16.600000000000001</v>
      </c>
      <c r="O33" s="15">
        <f>((M33*K32)-(N33*J33))/K33</f>
        <v>1555.4182767624022</v>
      </c>
      <c r="P33" s="15">
        <f t="shared" si="10"/>
        <v>98.599628817276866</v>
      </c>
      <c r="Q33" s="15">
        <v>48.2</v>
      </c>
      <c r="R33" s="15">
        <f>R32-Q33</f>
        <v>152.89999999999998</v>
      </c>
      <c r="S33" s="15">
        <f t="shared" si="9"/>
        <v>32.923497267759565</v>
      </c>
      <c r="T33" s="15">
        <v>1187.4000000000001</v>
      </c>
      <c r="U33" s="15">
        <v>14.2</v>
      </c>
      <c r="V33" s="15">
        <f>((T33*R32)-(U33*Q33))/R33</f>
        <v>1557.2380640941794</v>
      </c>
      <c r="W33" s="15">
        <f t="shared" si="11"/>
        <v>98.804109819774297</v>
      </c>
      <c r="X33" s="30">
        <f>AVERAGE(L33,S33)</f>
        <v>33.025956284153011</v>
      </c>
      <c r="Y33" s="30">
        <f>STDEV(L33,S33)</f>
        <v>0.14489893057101391</v>
      </c>
      <c r="Z33" s="30">
        <f>AVERAGE(P33,W33)</f>
        <v>98.701869318525581</v>
      </c>
      <c r="AA33" s="30">
        <f>STDEV(P33,W33)</f>
        <v>0.14458990348975687</v>
      </c>
    </row>
    <row r="34" spans="1:35" x14ac:dyDescent="0.2">
      <c r="A34" s="15" t="s">
        <v>1</v>
      </c>
      <c r="B34" s="15">
        <v>30</v>
      </c>
      <c r="C34" s="15">
        <v>4</v>
      </c>
      <c r="D34" s="15">
        <v>1000</v>
      </c>
      <c r="E34" s="15">
        <v>4</v>
      </c>
      <c r="F34" s="15" t="s">
        <v>79</v>
      </c>
      <c r="G34" s="15">
        <v>240</v>
      </c>
      <c r="H34" s="15">
        <v>4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35" x14ac:dyDescent="0.2">
      <c r="A35" s="15" t="s">
        <v>1</v>
      </c>
      <c r="B35" s="15">
        <v>30</v>
      </c>
      <c r="C35" s="15">
        <v>4</v>
      </c>
      <c r="D35" s="15">
        <v>1000</v>
      </c>
      <c r="E35" s="15">
        <v>4</v>
      </c>
      <c r="F35" s="15" t="s">
        <v>104</v>
      </c>
      <c r="G35" s="15">
        <v>60</v>
      </c>
      <c r="H35" s="15">
        <v>1</v>
      </c>
      <c r="I35" s="15">
        <v>1</v>
      </c>
      <c r="J35" s="15">
        <v>72.599999999999994</v>
      </c>
      <c r="K35" s="15">
        <f>$B$3-J35</f>
        <v>177.4</v>
      </c>
      <c r="L35" s="15">
        <f>J35/1000/$B$2</f>
        <v>49.590163934426229</v>
      </c>
      <c r="M35" s="15">
        <v>1000</v>
      </c>
      <c r="N35" s="15">
        <v>352.5</v>
      </c>
      <c r="O35" s="15">
        <f>((M35*$B$3)-(N35*J35))/K35</f>
        <v>1264.9859075535512</v>
      </c>
      <c r="P35" s="15">
        <f>(1-N35/M35)*100</f>
        <v>64.75</v>
      </c>
      <c r="Q35" s="15">
        <v>73.099999999999994</v>
      </c>
      <c r="R35" s="15">
        <f>$B$3-Q35</f>
        <v>176.9</v>
      </c>
      <c r="S35" s="15">
        <f>Q35/1000/$B$2</f>
        <v>49.931693989071036</v>
      </c>
      <c r="T35" s="15">
        <v>1000</v>
      </c>
      <c r="U35" s="15">
        <v>352.4</v>
      </c>
      <c r="V35" s="15">
        <f>((T35*$B$3)-(U35*Q35))/R35</f>
        <v>1267.6063312605991</v>
      </c>
      <c r="W35" s="15">
        <f>(1-U35/T35)*100</f>
        <v>64.759999999999991</v>
      </c>
      <c r="X35" s="30">
        <f>AVERAGE(L35,S35)</f>
        <v>49.760928961748633</v>
      </c>
      <c r="Y35" s="30">
        <f>STDEV(L35,S35)</f>
        <v>0.24149821761835485</v>
      </c>
      <c r="Z35" s="30">
        <f>AVERAGE(P35,W35)</f>
        <v>64.754999999999995</v>
      </c>
      <c r="AA35" s="30">
        <f>STDEV(P35,W35)</f>
        <v>7.0710678118590439E-3</v>
      </c>
    </row>
    <row r="36" spans="1:35" x14ac:dyDescent="0.2">
      <c r="A36" s="15" t="s">
        <v>1</v>
      </c>
      <c r="B36" s="15">
        <v>30</v>
      </c>
      <c r="C36" s="15">
        <v>4</v>
      </c>
      <c r="D36" s="15">
        <v>1000</v>
      </c>
      <c r="E36" s="15">
        <v>4</v>
      </c>
      <c r="F36" s="15" t="s">
        <v>104</v>
      </c>
      <c r="G36" s="15">
        <v>120</v>
      </c>
      <c r="H36" s="15">
        <v>2</v>
      </c>
      <c r="I36" s="15">
        <v>1</v>
      </c>
      <c r="J36" s="15">
        <v>72.8</v>
      </c>
      <c r="K36" s="15">
        <f>K35-J36</f>
        <v>104.60000000000001</v>
      </c>
      <c r="L36" s="15">
        <f t="shared" ref="L36:L38" si="12">J36/1000/$B$2</f>
        <v>49.726775956284158</v>
      </c>
      <c r="M36" s="15">
        <v>1203.3</v>
      </c>
      <c r="N36" s="15">
        <v>433.7</v>
      </c>
      <c r="O36" s="15">
        <f>((M36*K35)-(N36*J36))/K36</f>
        <v>1738.9298279158702</v>
      </c>
      <c r="P36" s="15">
        <f>(1-N36/M36)*100</f>
        <v>63.95745034488489</v>
      </c>
      <c r="Q36" s="15">
        <v>72.2</v>
      </c>
      <c r="R36" s="15">
        <f>R35-Q36</f>
        <v>104.7</v>
      </c>
      <c r="S36" s="15">
        <f t="shared" ref="S36:S38" si="13">Q36/1000/$B$2</f>
        <v>49.31693989071038</v>
      </c>
      <c r="T36" s="15">
        <v>1205.7</v>
      </c>
      <c r="U36" s="15">
        <v>429.8</v>
      </c>
      <c r="V36" s="15">
        <f>((T36*R35)-(U36*Q36))/R36</f>
        <v>1740.7523400191023</v>
      </c>
      <c r="W36" s="15">
        <f>(1-U36/T36)*100</f>
        <v>64.352658206850791</v>
      </c>
      <c r="X36" s="30">
        <f>AVERAGE(L36,S36)</f>
        <v>49.521857923497265</v>
      </c>
      <c r="Y36" s="30">
        <f>STDEV(L36,S36)</f>
        <v>0.28979786114203288</v>
      </c>
      <c r="Z36" s="30">
        <f>AVERAGE(P36,W36)</f>
        <v>64.15505427586784</v>
      </c>
      <c r="AA36" s="30">
        <f>STDEV(P36,W36)</f>
        <v>0.27945415917432531</v>
      </c>
      <c r="AB36" s="30">
        <f>L36/L33</f>
        <v>1.5010309278350515</v>
      </c>
      <c r="AC36" s="30">
        <f>S36/S33</f>
        <v>1.4979253112033193</v>
      </c>
      <c r="AD36" s="30">
        <f>X36/X33</f>
        <v>1.4994829369183036</v>
      </c>
      <c r="AE36" s="30">
        <f>STDEV(AB36,AC36)</f>
        <v>2.1960025800636029E-3</v>
      </c>
      <c r="AF36" s="30">
        <f>P36/P33</f>
        <v>0.64865812490440233</v>
      </c>
      <c r="AG36" s="30">
        <f>W36/W33</f>
        <v>0.65131560138778233</v>
      </c>
      <c r="AH36" s="30">
        <f>Z36/Z33</f>
        <v>0.64998823952188745</v>
      </c>
      <c r="AI36" s="30">
        <f>STDEV(AF36,AG36)</f>
        <v>1.8791196422417737E-3</v>
      </c>
    </row>
    <row r="37" spans="1:35" x14ac:dyDescent="0.2">
      <c r="A37" s="15" t="s">
        <v>0</v>
      </c>
      <c r="B37" s="15">
        <v>30</v>
      </c>
      <c r="C37" s="15">
        <v>4</v>
      </c>
      <c r="D37" s="15">
        <v>1000</v>
      </c>
      <c r="E37" s="15">
        <v>4</v>
      </c>
      <c r="F37" s="15" t="s">
        <v>103</v>
      </c>
      <c r="G37" s="15">
        <v>60</v>
      </c>
      <c r="H37" s="15">
        <v>1</v>
      </c>
      <c r="I37" s="15">
        <v>1</v>
      </c>
      <c r="J37" s="15">
        <v>49.3</v>
      </c>
      <c r="K37" s="15">
        <f>$B$3-J37</f>
        <v>200.7</v>
      </c>
      <c r="L37" s="15">
        <f t="shared" si="12"/>
        <v>33.674863387978142</v>
      </c>
      <c r="M37" s="15">
        <v>1000</v>
      </c>
      <c r="N37" s="15">
        <v>17</v>
      </c>
      <c r="O37" s="15">
        <f>((M37*$B$3)-(N37*J37))/K37</f>
        <v>1241.4643746885899</v>
      </c>
      <c r="P37" s="15">
        <f t="shared" ref="P37:P38" si="14">(1-N37/M37)*100</f>
        <v>98.3</v>
      </c>
      <c r="Q37" s="15">
        <v>49</v>
      </c>
      <c r="R37" s="15">
        <f>$B$3-Q37</f>
        <v>201</v>
      </c>
      <c r="S37" s="15">
        <f t="shared" si="13"/>
        <v>33.469945355191257</v>
      </c>
      <c r="T37" s="15">
        <v>1000</v>
      </c>
      <c r="U37" s="15">
        <v>15</v>
      </c>
      <c r="V37" s="15">
        <f>((T37*$B$3)-(U37*Q37))/R37</f>
        <v>1240.1243781094527</v>
      </c>
      <c r="W37" s="15">
        <f t="shared" ref="W37:W38" si="15">(1-U37/T37)*100</f>
        <v>98.5</v>
      </c>
      <c r="X37" s="30">
        <f>AVERAGE(L37,S37)</f>
        <v>33.572404371584696</v>
      </c>
      <c r="Y37" s="30">
        <f>STDEV(L37,S37)</f>
        <v>0.14489893057101391</v>
      </c>
      <c r="Z37" s="30">
        <f>AVERAGE(P37,W37)</f>
        <v>98.4</v>
      </c>
      <c r="AA37" s="30">
        <f>STDEV(P37,W37)</f>
        <v>0.14142135623731153</v>
      </c>
    </row>
    <row r="38" spans="1:35" x14ac:dyDescent="0.2">
      <c r="A38" s="15" t="s">
        <v>0</v>
      </c>
      <c r="B38" s="15">
        <v>30</v>
      </c>
      <c r="C38" s="15">
        <v>4</v>
      </c>
      <c r="D38" s="15">
        <v>1000</v>
      </c>
      <c r="E38" s="15">
        <v>4</v>
      </c>
      <c r="F38" s="15" t="s">
        <v>103</v>
      </c>
      <c r="G38" s="15">
        <v>120</v>
      </c>
      <c r="H38" s="15">
        <v>2</v>
      </c>
      <c r="I38" s="15">
        <v>1</v>
      </c>
      <c r="J38" s="15">
        <v>48.6</v>
      </c>
      <c r="K38" s="15">
        <f>K37-J38</f>
        <v>152.1</v>
      </c>
      <c r="L38" s="15">
        <f t="shared" si="12"/>
        <v>33.196721311475414</v>
      </c>
      <c r="M38" s="15">
        <v>1187.5</v>
      </c>
      <c r="N38" s="15">
        <v>13.1</v>
      </c>
      <c r="O38" s="15">
        <f>((M38*K37)-(N38*J38))/K38</f>
        <v>1562.7520710059173</v>
      </c>
      <c r="P38" s="15">
        <f t="shared" si="14"/>
        <v>98.896842105263161</v>
      </c>
      <c r="Q38" s="15">
        <v>48.9</v>
      </c>
      <c r="R38" s="15">
        <f>R37-Q38</f>
        <v>152.1</v>
      </c>
      <c r="S38" s="15">
        <f t="shared" si="13"/>
        <v>33.401639344262293</v>
      </c>
      <c r="T38" s="15">
        <v>1190.4000000000001</v>
      </c>
      <c r="U38" s="15">
        <v>8.3000000000000007</v>
      </c>
      <c r="V38" s="15">
        <f>((T38*R37)-(U38*Q38))/R38</f>
        <v>1570.4439842209076</v>
      </c>
      <c r="W38" s="15">
        <f t="shared" si="15"/>
        <v>99.302755376344081</v>
      </c>
      <c r="X38" s="30">
        <f>AVERAGE(L38,S38)</f>
        <v>33.299180327868854</v>
      </c>
      <c r="Y38" s="30">
        <f>STDEV(L38,S38)</f>
        <v>0.14489893057100889</v>
      </c>
      <c r="Z38" s="30">
        <f>AVERAGE(P38,W38)</f>
        <v>99.099798740803621</v>
      </c>
      <c r="AA38" s="30">
        <f>STDEV(P38,W38)</f>
        <v>0.28702402655493148</v>
      </c>
    </row>
    <row r="39" spans="1:35" x14ac:dyDescent="0.2">
      <c r="A39" s="15" t="s">
        <v>0</v>
      </c>
      <c r="B39" s="15">
        <v>30</v>
      </c>
      <c r="C39" s="15">
        <v>4</v>
      </c>
      <c r="D39" s="15">
        <v>1000</v>
      </c>
      <c r="E39" s="15">
        <v>4</v>
      </c>
      <c r="F39" s="15" t="s">
        <v>79</v>
      </c>
      <c r="G39" s="15">
        <v>240</v>
      </c>
      <c r="H39" s="15">
        <v>4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35" x14ac:dyDescent="0.2">
      <c r="A40" s="15" t="s">
        <v>0</v>
      </c>
      <c r="B40" s="15">
        <v>30</v>
      </c>
      <c r="C40" s="15">
        <v>4</v>
      </c>
      <c r="D40" s="15">
        <v>1000</v>
      </c>
      <c r="E40" s="15">
        <v>4</v>
      </c>
      <c r="F40" s="15" t="s">
        <v>104</v>
      </c>
      <c r="G40" s="15">
        <v>60</v>
      </c>
      <c r="H40" s="15">
        <v>1</v>
      </c>
      <c r="I40" s="15">
        <v>1</v>
      </c>
      <c r="J40" s="15">
        <v>78.8</v>
      </c>
      <c r="K40" s="15">
        <f>($B$3-J40)</f>
        <v>171.2</v>
      </c>
      <c r="L40" s="15">
        <f>J40/1000/$B$2</f>
        <v>53.825136612021851</v>
      </c>
      <c r="M40" s="15">
        <v>1000</v>
      </c>
      <c r="N40" s="15">
        <v>324.10000000000002</v>
      </c>
      <c r="O40" s="15">
        <f>((M40*$B$3)-(N40*J40))/K40</f>
        <v>1311.1035046728971</v>
      </c>
      <c r="P40" s="15">
        <f>(1-N40/M40)*100</f>
        <v>67.589999999999989</v>
      </c>
      <c r="Q40" s="15">
        <v>78.2</v>
      </c>
      <c r="R40" s="15">
        <f>($B$3-Q40)</f>
        <v>171.8</v>
      </c>
      <c r="S40" s="15">
        <f>Q40/1000/$B$2</f>
        <v>53.415300546448087</v>
      </c>
      <c r="T40" s="15">
        <v>1000</v>
      </c>
      <c r="U40" s="15">
        <v>318.10000000000002</v>
      </c>
      <c r="V40" s="15">
        <f>((T40*$B$3)-(U40*Q40))/R40</f>
        <v>1310.3875436554131</v>
      </c>
      <c r="W40" s="15">
        <f>(1-U40/T40)*100</f>
        <v>68.19</v>
      </c>
      <c r="X40" s="30">
        <f>AVERAGE(L40,S40)</f>
        <v>53.620218579234972</v>
      </c>
      <c r="Y40" s="30">
        <f>STDEV(L40,S40)</f>
        <v>0.28979786114202283</v>
      </c>
      <c r="Z40" s="30">
        <f>AVERAGE(P40,W40)</f>
        <v>67.889999999999986</v>
      </c>
      <c r="AA40" s="30">
        <f>STDEV(P40,W40)</f>
        <v>0.42426406871193451</v>
      </c>
    </row>
    <row r="41" spans="1:35" x14ac:dyDescent="0.2">
      <c r="A41" s="15" t="s">
        <v>0</v>
      </c>
      <c r="B41" s="15">
        <v>30</v>
      </c>
      <c r="C41" s="15">
        <v>4</v>
      </c>
      <c r="D41" s="15">
        <v>1000</v>
      </c>
      <c r="E41" s="15">
        <v>4</v>
      </c>
      <c r="F41" s="15" t="s">
        <v>104</v>
      </c>
      <c r="G41" s="15">
        <v>120</v>
      </c>
      <c r="H41" s="15">
        <v>2</v>
      </c>
      <c r="I41" s="15">
        <v>1</v>
      </c>
      <c r="J41" s="15">
        <v>77.8</v>
      </c>
      <c r="K41" s="15">
        <f>K40-J41</f>
        <v>93.399999999999991</v>
      </c>
      <c r="L41" s="15">
        <f>J41/1000/$B$2</f>
        <v>53.142076502732237</v>
      </c>
      <c r="M41" s="15">
        <v>1234.7</v>
      </c>
      <c r="N41" s="15">
        <v>405.1</v>
      </c>
      <c r="O41" s="15">
        <f>((M41*K40)-(N41*J41))/K41</f>
        <v>1925.7372591006424</v>
      </c>
      <c r="P41" s="15">
        <f>(1-N41/M41)*100</f>
        <v>67.190410626063013</v>
      </c>
      <c r="Q41" s="15">
        <v>78.2</v>
      </c>
      <c r="R41" s="15">
        <f>R40-Q41</f>
        <v>93.600000000000009</v>
      </c>
      <c r="S41" s="15">
        <f>Q41/1000/$B$2</f>
        <v>53.415300546448087</v>
      </c>
      <c r="T41" s="15">
        <v>1238.5999999999999</v>
      </c>
      <c r="U41" s="15">
        <v>401.4</v>
      </c>
      <c r="V41" s="15">
        <f>((T41*R40)-(U41*Q41))/R41</f>
        <v>1938.0555555555554</v>
      </c>
      <c r="W41" s="15">
        <f>(1-U41/T41)*100</f>
        <v>67.59244308089778</v>
      </c>
      <c r="X41" s="30">
        <f>AVERAGE(L41,S41)</f>
        <v>53.278688524590166</v>
      </c>
      <c r="Y41" s="30">
        <f>STDEV(L41,S41)</f>
        <v>0.19319857409468688</v>
      </c>
      <c r="Z41" s="30">
        <f>AVERAGE(P41,W41)</f>
        <v>67.391426853480397</v>
      </c>
      <c r="AA41" s="30">
        <f>STDEV(P41,W41)</f>
        <v>0.28427987507073837</v>
      </c>
      <c r="AB41" s="30">
        <f>L41/L38</f>
        <v>1.6008230452674894</v>
      </c>
      <c r="AC41" s="30">
        <f>S41/S38</f>
        <v>1.5991820040899796</v>
      </c>
      <c r="AD41" s="30">
        <f>X41/X38</f>
        <v>1.6</v>
      </c>
      <c r="AE41" s="30">
        <f>STDEV(AB41,AC41)</f>
        <v>1.1603913448235718E-3</v>
      </c>
      <c r="AF41" s="30">
        <f>P41/P38</f>
        <v>0.67939894940778123</v>
      </c>
      <c r="AG41" s="30">
        <f>W41/W38</f>
        <v>0.6806703683571671</v>
      </c>
      <c r="AH41" s="30">
        <f>Z41/Z38</f>
        <v>0.68003596081706741</v>
      </c>
      <c r="AI41" s="30">
        <f>STDEV(AF41,AG41)</f>
        <v>8.9902896083982585E-4</v>
      </c>
    </row>
    <row r="42" spans="1:35" x14ac:dyDescent="0.2">
      <c r="A42" s="38" t="s">
        <v>80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35" x14ac:dyDescent="0.2">
      <c r="A43" s="15" t="s">
        <v>5</v>
      </c>
      <c r="B43" s="15">
        <v>12</v>
      </c>
      <c r="C43" s="15">
        <v>4</v>
      </c>
      <c r="D43" s="15">
        <v>3000</v>
      </c>
      <c r="E43" s="15">
        <v>12</v>
      </c>
      <c r="F43" s="15" t="s">
        <v>103</v>
      </c>
      <c r="G43" s="15">
        <v>60</v>
      </c>
      <c r="H43" s="15">
        <v>1</v>
      </c>
      <c r="I43" s="15">
        <v>1</v>
      </c>
      <c r="J43" s="15">
        <v>48.7</v>
      </c>
      <c r="K43" s="15">
        <f>($B$3-J43)</f>
        <v>201.3</v>
      </c>
      <c r="L43" s="15">
        <f>J43/1000/$B$2</f>
        <v>33.265027322404372</v>
      </c>
      <c r="M43" s="15">
        <v>1000</v>
      </c>
      <c r="N43" s="15">
        <v>28</v>
      </c>
      <c r="O43" s="15">
        <f>((M43*$B$3)-(N43*J43))/K43</f>
        <v>1235.1535022354694</v>
      </c>
      <c r="P43" s="15">
        <f>(1-N43/M43)*100</f>
        <v>97.2</v>
      </c>
      <c r="Q43" s="15">
        <v>48.4</v>
      </c>
      <c r="R43" s="15">
        <f>($B$3-Q43)</f>
        <v>201.6</v>
      </c>
      <c r="S43" s="15">
        <f>Q43/1000/$B$2</f>
        <v>33.060109289617486</v>
      </c>
      <c r="T43" s="15">
        <v>1000</v>
      </c>
      <c r="U43" s="15">
        <v>22</v>
      </c>
      <c r="V43" s="15">
        <f>((T43*$B$3)-(U43*Q43))/R43</f>
        <v>1234.797619047619</v>
      </c>
      <c r="W43" s="15">
        <f>(1-U43/T43)*100</f>
        <v>97.8</v>
      </c>
      <c r="X43" s="30">
        <f>AVERAGE(L43,S43)</f>
        <v>33.162568306010925</v>
      </c>
      <c r="Y43" s="30">
        <f>STDEV(L43,S43)</f>
        <v>0.14489893057101391</v>
      </c>
      <c r="Z43" s="30">
        <f>AVERAGE(P43,W43)</f>
        <v>97.5</v>
      </c>
      <c r="AA43" s="30">
        <f>STDEV(P43,W43)</f>
        <v>0.42426406871192446</v>
      </c>
    </row>
    <row r="44" spans="1:35" x14ac:dyDescent="0.2">
      <c r="A44" s="15" t="s">
        <v>5</v>
      </c>
      <c r="B44" s="15">
        <v>12</v>
      </c>
      <c r="C44" s="15">
        <v>4</v>
      </c>
      <c r="D44" s="15">
        <v>3000</v>
      </c>
      <c r="E44" s="15">
        <v>12</v>
      </c>
      <c r="F44" s="15" t="s">
        <v>103</v>
      </c>
      <c r="G44" s="15">
        <v>120</v>
      </c>
      <c r="H44" s="15">
        <v>2</v>
      </c>
      <c r="I44" s="15">
        <v>1</v>
      </c>
      <c r="J44" s="15">
        <v>48</v>
      </c>
      <c r="K44" s="15">
        <f>K43-J44</f>
        <v>153.30000000000001</v>
      </c>
      <c r="L44" s="15">
        <f>J44/1000/$B$2</f>
        <v>32.786885245901637</v>
      </c>
      <c r="M44" s="15">
        <v>1183</v>
      </c>
      <c r="N44" s="15">
        <v>40.200000000000003</v>
      </c>
      <c r="O44" s="15">
        <f>((M44*K43)-(N44*J44))/K44</f>
        <v>1540.8238747553817</v>
      </c>
      <c r="P44" s="15">
        <f>(1-N44/M44)*100</f>
        <v>96.601859678782759</v>
      </c>
      <c r="Q44" s="15">
        <v>48.4</v>
      </c>
      <c r="R44" s="15">
        <f>R43-Q44</f>
        <v>153.19999999999999</v>
      </c>
      <c r="S44" s="15">
        <f>Q44/1000/$B$2</f>
        <v>33.060109289617486</v>
      </c>
      <c r="T44" s="15">
        <v>1186.5</v>
      </c>
      <c r="U44" s="15">
        <v>35.6</v>
      </c>
      <c r="V44" s="15">
        <f>((T44*R43)-(U44*Q44))/R44</f>
        <v>1550.1002610966057</v>
      </c>
      <c r="W44" s="15">
        <f>(1-U44/T44)*100</f>
        <v>96.999578592498949</v>
      </c>
      <c r="X44" s="30">
        <f>AVERAGE(L44,S44)</f>
        <v>32.923497267759558</v>
      </c>
      <c r="Y44" s="30">
        <f>STDEV(L44,S44)</f>
        <v>0.19319857409468688</v>
      </c>
      <c r="Z44" s="30">
        <f>AVERAGE(P44,W44)</f>
        <v>96.800719135640861</v>
      </c>
      <c r="AA44" s="30">
        <f>STDEV(P44,W44)</f>
        <v>0.28122974089486535</v>
      </c>
    </row>
    <row r="45" spans="1:35" x14ac:dyDescent="0.2">
      <c r="A45" s="15" t="s">
        <v>5</v>
      </c>
      <c r="B45" s="15">
        <v>12</v>
      </c>
      <c r="C45" s="15">
        <v>4</v>
      </c>
      <c r="D45" s="15">
        <v>3000</v>
      </c>
      <c r="E45" s="15">
        <v>12</v>
      </c>
      <c r="F45" s="15" t="s">
        <v>79</v>
      </c>
      <c r="G45" s="15">
        <v>720</v>
      </c>
      <c r="H45" s="15">
        <v>12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35" x14ac:dyDescent="0.2">
      <c r="A46" s="15" t="s">
        <v>5</v>
      </c>
      <c r="B46" s="15">
        <v>12</v>
      </c>
      <c r="C46" s="15">
        <v>4</v>
      </c>
      <c r="D46" s="15">
        <v>3000</v>
      </c>
      <c r="E46" s="15">
        <v>12</v>
      </c>
      <c r="F46" s="15" t="s">
        <v>104</v>
      </c>
      <c r="G46" s="15">
        <v>60</v>
      </c>
      <c r="H46" s="15">
        <v>1</v>
      </c>
      <c r="I46" s="15">
        <v>1</v>
      </c>
      <c r="J46" s="15">
        <v>121.4</v>
      </c>
      <c r="K46" s="15">
        <f>$B$3-J46</f>
        <v>128.6</v>
      </c>
      <c r="L46" s="15">
        <f>J46/1000/$B$2</f>
        <v>82.923497267759572</v>
      </c>
      <c r="M46" s="15">
        <v>1000</v>
      </c>
      <c r="N46" s="15">
        <v>803.2</v>
      </c>
      <c r="O46" s="15">
        <f>((M46*$B$3)-(N46*J46))/K46</f>
        <v>1185.7816485225505</v>
      </c>
      <c r="P46" s="15">
        <f>(1-N46/M46)*100</f>
        <v>19.679999999999996</v>
      </c>
      <c r="Q46" s="15">
        <v>120.8</v>
      </c>
      <c r="R46" s="15">
        <f>$B$3-Q46</f>
        <v>129.19999999999999</v>
      </c>
      <c r="S46" s="15">
        <f>Q46/1000/$B$2</f>
        <v>82.513661202185787</v>
      </c>
      <c r="T46" s="15">
        <v>1000</v>
      </c>
      <c r="U46" s="15">
        <v>799.6</v>
      </c>
      <c r="V46" s="15">
        <f>((T46*$B$3)-(U46*Q46))/R46</f>
        <v>1187.3708978328175</v>
      </c>
      <c r="W46" s="15">
        <f>(1-U46/T46)*100</f>
        <v>20.040000000000003</v>
      </c>
      <c r="X46" s="30">
        <f>AVERAGE(L46,S46)</f>
        <v>82.71857923497268</v>
      </c>
      <c r="Y46" s="30">
        <f>STDEV(L46,S46)</f>
        <v>0.28979786114203787</v>
      </c>
      <c r="Z46" s="30">
        <f>AVERAGE(P46,W46)</f>
        <v>19.86</v>
      </c>
      <c r="AA46" s="30">
        <f>STDEV(P46,W46)</f>
        <v>0.25455844122716176</v>
      </c>
    </row>
    <row r="47" spans="1:35" x14ac:dyDescent="0.2">
      <c r="A47" s="15" t="s">
        <v>5</v>
      </c>
      <c r="B47" s="15">
        <v>12</v>
      </c>
      <c r="C47" s="15">
        <v>4</v>
      </c>
      <c r="D47" s="15">
        <v>3000</v>
      </c>
      <c r="E47" s="15">
        <v>12</v>
      </c>
      <c r="F47" s="15" t="s">
        <v>104</v>
      </c>
      <c r="G47" s="15">
        <v>120</v>
      </c>
      <c r="H47" s="15">
        <v>2</v>
      </c>
      <c r="I47" s="15">
        <v>1</v>
      </c>
      <c r="J47" s="15">
        <v>120.2</v>
      </c>
      <c r="K47" s="15">
        <f>K46-J47</f>
        <v>8.3999999999999915</v>
      </c>
      <c r="L47" s="15">
        <f t="shared" ref="L47:L49" si="16">J47/1000/$B$2</f>
        <v>82.103825136612016</v>
      </c>
      <c r="M47" s="15">
        <v>1130.5</v>
      </c>
      <c r="N47" s="15">
        <v>912.5</v>
      </c>
      <c r="O47" s="15">
        <f>((M47*K46)-(N47*J47))/K47</f>
        <v>4249.9761904761936</v>
      </c>
      <c r="P47" s="15">
        <f>(1-N47/M47)*100</f>
        <v>19.283502874834145</v>
      </c>
      <c r="Q47" s="15">
        <v>120.6</v>
      </c>
      <c r="R47" s="15">
        <f>R46-Q47</f>
        <v>8.5999999999999943</v>
      </c>
      <c r="S47" s="15">
        <f t="shared" ref="S47:S49" si="17">Q47/1000/$B$2</f>
        <v>82.377049180327873</v>
      </c>
      <c r="T47" s="15">
        <v>1133.5999999999999</v>
      </c>
      <c r="U47" s="15">
        <v>913.3</v>
      </c>
      <c r="V47" s="15">
        <f>((T47*R46)-(U47*Q47))/R47</f>
        <v>4222.9232558139529</v>
      </c>
      <c r="W47" s="15">
        <f>(1-U47/T47)*100</f>
        <v>19.433662667607621</v>
      </c>
      <c r="X47" s="30">
        <f>AVERAGE(L47,S47)</f>
        <v>82.240437158469945</v>
      </c>
      <c r="Y47" s="30">
        <f>STDEV(L47,S47)</f>
        <v>0.19319857409469193</v>
      </c>
      <c r="Z47" s="30">
        <f>AVERAGE(P47,W47)</f>
        <v>19.358582771220881</v>
      </c>
      <c r="AA47" s="30">
        <f>STDEV(P47,W47)</f>
        <v>0.10617900773169139</v>
      </c>
      <c r="AB47" s="30">
        <f>L47/L44</f>
        <v>2.5041666666666669</v>
      </c>
      <c r="AC47" s="30">
        <f>S47/S44</f>
        <v>2.4917355371900829</v>
      </c>
      <c r="AD47" s="30">
        <f>X47/X44</f>
        <v>2.49792531120332</v>
      </c>
      <c r="AE47" s="30">
        <f>STDEV(AB47,AC47)</f>
        <v>8.7901359507005089E-3</v>
      </c>
      <c r="AF47" s="30">
        <f>P47/P44</f>
        <v>0.19961834005012943</v>
      </c>
      <c r="AG47" s="30">
        <f>W47/W44</f>
        <v>0.20034790820328821</v>
      </c>
      <c r="AH47" s="30">
        <f>Z47/Z44</f>
        <v>0.19998387350919258</v>
      </c>
      <c r="AI47" s="30">
        <f>STDEV(AF47,AG47)</f>
        <v>5.1588258843631709E-4</v>
      </c>
    </row>
    <row r="48" spans="1:35" x14ac:dyDescent="0.2">
      <c r="A48" s="15" t="s">
        <v>1</v>
      </c>
      <c r="B48" s="15">
        <v>30</v>
      </c>
      <c r="C48" s="15">
        <v>4</v>
      </c>
      <c r="D48" s="15">
        <v>3000</v>
      </c>
      <c r="E48" s="15">
        <v>12</v>
      </c>
      <c r="F48" s="15" t="s">
        <v>103</v>
      </c>
      <c r="G48" s="15">
        <v>60</v>
      </c>
      <c r="H48" s="15">
        <v>1</v>
      </c>
      <c r="I48" s="15">
        <v>1</v>
      </c>
      <c r="J48" s="15">
        <v>47.9</v>
      </c>
      <c r="K48" s="15">
        <f>$B$3-J48</f>
        <v>202.1</v>
      </c>
      <c r="L48" s="15">
        <f t="shared" si="16"/>
        <v>32.718579234972673</v>
      </c>
      <c r="M48" s="15">
        <v>1000</v>
      </c>
      <c r="N48" s="15">
        <v>19</v>
      </c>
      <c r="O48" s="15">
        <f>((M48*$B$3)-(N48*J48))/K48</f>
        <v>1232.5081642751113</v>
      </c>
      <c r="P48" s="15">
        <f t="shared" ref="P48:P49" si="18">(1-N48/M48)*100</f>
        <v>98.1</v>
      </c>
      <c r="Q48" s="15">
        <v>48.3</v>
      </c>
      <c r="R48" s="15">
        <f>$B$3-Q48</f>
        <v>201.7</v>
      </c>
      <c r="S48" s="15">
        <f t="shared" si="17"/>
        <v>32.991803278688522</v>
      </c>
      <c r="T48" s="15">
        <v>1000</v>
      </c>
      <c r="U48" s="15">
        <v>13</v>
      </c>
      <c r="V48" s="15">
        <f>((T48*$B$3)-(U48*Q48))/R48</f>
        <v>1236.3515121467526</v>
      </c>
      <c r="W48" s="15">
        <f t="shared" ref="W48:W49" si="19">(1-U48/T48)*100</f>
        <v>98.7</v>
      </c>
      <c r="X48" s="30">
        <f>AVERAGE(L48,S48)</f>
        <v>32.855191256830594</v>
      </c>
      <c r="Y48" s="30">
        <f>STDEV(L48,S48)</f>
        <v>0.19319857409468688</v>
      </c>
      <c r="Z48" s="30">
        <f>AVERAGE(P48,W48)</f>
        <v>98.4</v>
      </c>
      <c r="AA48" s="30">
        <f>STDEV(P48,W48)</f>
        <v>0.42426406871193451</v>
      </c>
    </row>
    <row r="49" spans="1:35" x14ac:dyDescent="0.2">
      <c r="A49" s="15" t="s">
        <v>1</v>
      </c>
      <c r="B49" s="15">
        <v>30</v>
      </c>
      <c r="C49" s="15">
        <v>4</v>
      </c>
      <c r="D49" s="15">
        <v>3000</v>
      </c>
      <c r="E49" s="15">
        <v>12</v>
      </c>
      <c r="F49" s="15" t="s">
        <v>103</v>
      </c>
      <c r="G49" s="15">
        <v>120</v>
      </c>
      <c r="H49" s="15">
        <v>2</v>
      </c>
      <c r="I49" s="15">
        <v>1</v>
      </c>
      <c r="J49" s="15">
        <v>48.1</v>
      </c>
      <c r="K49" s="15">
        <f>K48-J49</f>
        <v>154</v>
      </c>
      <c r="L49" s="15">
        <f t="shared" si="16"/>
        <v>32.855191256830601</v>
      </c>
      <c r="M49" s="15">
        <v>1187.4000000000001</v>
      </c>
      <c r="N49" s="15">
        <v>13.1</v>
      </c>
      <c r="O49" s="15">
        <f>((M49*K48)-(N49*J49))/K49</f>
        <v>1554.1781168831171</v>
      </c>
      <c r="P49" s="15">
        <f t="shared" si="18"/>
        <v>98.896749199932614</v>
      </c>
      <c r="Q49" s="15">
        <v>47.6</v>
      </c>
      <c r="R49" s="15">
        <f>R48-Q49</f>
        <v>154.1</v>
      </c>
      <c r="S49" s="15">
        <f t="shared" si="17"/>
        <v>32.513661202185794</v>
      </c>
      <c r="T49" s="15">
        <v>1191.5</v>
      </c>
      <c r="U49" s="15">
        <v>10.7</v>
      </c>
      <c r="V49" s="15">
        <f>((T49*R48)-(U49*Q49))/R49</f>
        <v>1556.2377027903958</v>
      </c>
      <c r="W49" s="15">
        <f t="shared" si="19"/>
        <v>99.101972303818712</v>
      </c>
      <c r="X49" s="30">
        <f>AVERAGE(L49,S49)</f>
        <v>32.684426229508198</v>
      </c>
      <c r="Y49" s="30">
        <f>STDEV(L49,S49)</f>
        <v>0.24149821761835485</v>
      </c>
      <c r="Z49" s="30">
        <f>AVERAGE(P49,W49)</f>
        <v>98.999360751875656</v>
      </c>
      <c r="AA49" s="30">
        <f>STDEV(P49,W49)</f>
        <v>0.14511464841401128</v>
      </c>
    </row>
    <row r="50" spans="1:35" x14ac:dyDescent="0.2">
      <c r="A50" s="15" t="s">
        <v>1</v>
      </c>
      <c r="B50" s="15">
        <v>30</v>
      </c>
      <c r="C50" s="15">
        <v>4</v>
      </c>
      <c r="D50" s="15">
        <v>3000</v>
      </c>
      <c r="E50" s="15">
        <v>12</v>
      </c>
      <c r="F50" s="15" t="s">
        <v>79</v>
      </c>
      <c r="G50" s="15">
        <v>720</v>
      </c>
      <c r="H50" s="15">
        <v>12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35" s="42" customFormat="1" x14ac:dyDescent="0.2">
      <c r="A51" s="41" t="s">
        <v>1</v>
      </c>
      <c r="B51" s="41">
        <v>30</v>
      </c>
      <c r="C51" s="41">
        <v>4</v>
      </c>
      <c r="D51" s="41">
        <v>3000</v>
      </c>
      <c r="E51" s="41">
        <v>12</v>
      </c>
      <c r="F51" s="41" t="s">
        <v>104</v>
      </c>
      <c r="G51" s="41">
        <v>60</v>
      </c>
      <c r="H51" s="41">
        <v>1</v>
      </c>
      <c r="I51" s="41">
        <v>1</v>
      </c>
      <c r="J51" s="41">
        <v>125.3</v>
      </c>
      <c r="K51" s="41">
        <f>$B$3-J51</f>
        <v>124.7</v>
      </c>
      <c r="L51" s="41">
        <f>J51/1000/$B$2</f>
        <v>85.58743169398906</v>
      </c>
      <c r="M51" s="41">
        <v>1000</v>
      </c>
      <c r="N51" s="41">
        <v>777.1</v>
      </c>
      <c r="O51" s="41">
        <f>((M51*$B$3)-(N51*J51))/K51</f>
        <v>1223.9724939855653</v>
      </c>
      <c r="P51" s="15">
        <f>(1-N51/M51)*100</f>
        <v>22.29</v>
      </c>
      <c r="Q51" s="41">
        <v>125.6</v>
      </c>
      <c r="R51" s="15">
        <f>$B$3-Q51</f>
        <v>124.4</v>
      </c>
      <c r="S51" s="15">
        <f>Q51/1000/$B$2</f>
        <v>85.792349726775953</v>
      </c>
      <c r="T51" s="41">
        <v>1000</v>
      </c>
      <c r="U51" s="41">
        <v>773.3</v>
      </c>
      <c r="V51" s="15">
        <f>((T51*$B$3)-(U51*Q51))/R51</f>
        <v>1228.8868167202572</v>
      </c>
      <c r="W51" s="15">
        <f>(1-U51/T51)*100</f>
        <v>22.67</v>
      </c>
      <c r="X51" s="30">
        <f>AVERAGE(L51,S51)</f>
        <v>85.689890710382514</v>
      </c>
      <c r="Y51" s="30">
        <f>STDEV(L51,S51)</f>
        <v>0.14489893057101896</v>
      </c>
      <c r="Z51" s="30">
        <f>AVERAGE(P51,W51)</f>
        <v>22.48</v>
      </c>
      <c r="AA51" s="30">
        <f>STDEV(P51,W51)</f>
        <v>0.26870057685088988</v>
      </c>
      <c r="AB51" s="43">
        <f>L51/L49</f>
        <v>2.6049896049896049</v>
      </c>
      <c r="AC51" s="43">
        <f>M51/M49</f>
        <v>0.8421761832575374</v>
      </c>
      <c r="AD51" s="30">
        <f>X51/X48</f>
        <v>2.6081081081081088</v>
      </c>
      <c r="AE51" s="43">
        <f t="shared" ref="AD51:AI51" si="20">O51/O49</f>
        <v>0.78753682135238479</v>
      </c>
      <c r="AF51" s="43">
        <f t="shared" si="20"/>
        <v>0.2253865792386954</v>
      </c>
      <c r="AG51" s="43">
        <f>W51/W49</f>
        <v>0.22875427676151763</v>
      </c>
      <c r="AH51" s="43">
        <f>Z51/Z49</f>
        <v>0.2270721732874835</v>
      </c>
      <c r="AI51" s="43">
        <f>STDEV(AF51:AG51)</f>
        <v>2.3813217553727388E-3</v>
      </c>
    </row>
    <row r="52" spans="1:35" s="42" customFormat="1" x14ac:dyDescent="0.2">
      <c r="A52" s="41" t="s">
        <v>1</v>
      </c>
      <c r="B52" s="41">
        <v>30</v>
      </c>
      <c r="C52" s="41">
        <v>4</v>
      </c>
      <c r="D52" s="41">
        <v>3000</v>
      </c>
      <c r="E52" s="41">
        <v>12</v>
      </c>
      <c r="F52" s="41" t="s">
        <v>104</v>
      </c>
      <c r="G52" s="41">
        <v>120</v>
      </c>
      <c r="H52" s="41">
        <v>2</v>
      </c>
      <c r="I52" s="41">
        <v>1</v>
      </c>
      <c r="J52" s="41"/>
      <c r="K52" s="41"/>
      <c r="L52" s="41"/>
      <c r="M52" s="41"/>
      <c r="N52" s="41"/>
      <c r="O52" s="41"/>
      <c r="P52" s="15"/>
      <c r="Q52" s="41"/>
      <c r="R52" s="15"/>
      <c r="S52" s="15"/>
      <c r="T52" s="41"/>
      <c r="U52" s="41"/>
      <c r="V52" s="15"/>
      <c r="W52" s="15"/>
      <c r="X52" s="30"/>
      <c r="Y52" s="30"/>
      <c r="Z52" s="30"/>
      <c r="AA52" s="30"/>
      <c r="AB52" s="43"/>
      <c r="AC52" s="43"/>
      <c r="AD52" s="43"/>
      <c r="AE52" s="43"/>
      <c r="AF52" s="43"/>
      <c r="AG52" s="43"/>
      <c r="AH52" s="43"/>
      <c r="AI52" s="43"/>
    </row>
    <row r="53" spans="1:35" x14ac:dyDescent="0.2">
      <c r="A53" s="15" t="s">
        <v>0</v>
      </c>
      <c r="B53" s="15">
        <v>30</v>
      </c>
      <c r="C53" s="15">
        <v>4</v>
      </c>
      <c r="D53" s="15">
        <v>3000</v>
      </c>
      <c r="E53" s="15">
        <v>12</v>
      </c>
      <c r="F53" s="15" t="s">
        <v>103</v>
      </c>
      <c r="G53" s="15">
        <v>60</v>
      </c>
      <c r="H53" s="15">
        <v>1</v>
      </c>
      <c r="I53" s="15">
        <v>1</v>
      </c>
      <c r="J53" s="15">
        <v>48.8</v>
      </c>
      <c r="K53" s="15">
        <f>$B$3-J53</f>
        <v>201.2</v>
      </c>
      <c r="L53" s="15">
        <f t="shared" ref="L52:L54" si="21">J53/1000/$B$2</f>
        <v>33.333333333333329</v>
      </c>
      <c r="M53" s="15">
        <v>1000</v>
      </c>
      <c r="N53" s="15">
        <v>14</v>
      </c>
      <c r="O53" s="15">
        <f>((M53*$B$3)-(N53*J53))/K53</f>
        <v>1239.1491053677933</v>
      </c>
      <c r="P53" s="15">
        <f t="shared" ref="P53:P54" si="22">(1-N53/M53)*100</f>
        <v>98.6</v>
      </c>
      <c r="Q53" s="15">
        <v>48.3</v>
      </c>
      <c r="R53" s="15">
        <f>$B$3-Q53</f>
        <v>201.7</v>
      </c>
      <c r="S53" s="15">
        <f t="shared" ref="S52:S54" si="23">Q53/1000/$B$2</f>
        <v>32.991803278688522</v>
      </c>
      <c r="T53" s="15">
        <v>1000</v>
      </c>
      <c r="U53" s="15">
        <v>12</v>
      </c>
      <c r="V53" s="15">
        <f>((T53*$B$3)-(U53*Q53))/R53</f>
        <v>1236.5909766980665</v>
      </c>
      <c r="W53" s="15">
        <f t="shared" ref="W53:W54" si="24">(1-U53/T53)*100</f>
        <v>98.8</v>
      </c>
      <c r="X53" s="30">
        <f>AVERAGE(L53,S53)</f>
        <v>33.162568306010925</v>
      </c>
      <c r="Y53" s="30">
        <f>STDEV(L53,S53)</f>
        <v>0.24149821761835485</v>
      </c>
      <c r="Z53" s="30">
        <f>AVERAGE(P53,W53)</f>
        <v>98.699999999999989</v>
      </c>
      <c r="AA53" s="30">
        <f>STDEV(P53,W53)</f>
        <v>0.14142135623731153</v>
      </c>
    </row>
    <row r="54" spans="1:35" x14ac:dyDescent="0.2">
      <c r="A54" s="15" t="s">
        <v>0</v>
      </c>
      <c r="B54" s="15">
        <v>30</v>
      </c>
      <c r="C54" s="15">
        <v>4</v>
      </c>
      <c r="D54" s="15">
        <v>3000</v>
      </c>
      <c r="E54" s="15">
        <v>12</v>
      </c>
      <c r="F54" s="15" t="s">
        <v>103</v>
      </c>
      <c r="G54" s="15">
        <v>120</v>
      </c>
      <c r="H54" s="15">
        <v>2</v>
      </c>
      <c r="I54" s="15">
        <v>1</v>
      </c>
      <c r="J54" s="15">
        <v>48</v>
      </c>
      <c r="K54" s="15">
        <f>K53-J54</f>
        <v>153.19999999999999</v>
      </c>
      <c r="L54" s="15">
        <f t="shared" si="21"/>
        <v>32.786885245901637</v>
      </c>
      <c r="M54" s="15">
        <v>1189</v>
      </c>
      <c r="N54" s="15">
        <v>11.9</v>
      </c>
      <c r="O54" s="15">
        <f>((M54*K53)-(N54*J54))/K54</f>
        <v>1557.8041775456918</v>
      </c>
      <c r="P54" s="15">
        <f t="shared" si="22"/>
        <v>98.999158957106815</v>
      </c>
      <c r="Q54" s="15">
        <v>48.6</v>
      </c>
      <c r="R54" s="15">
        <f>R53-Q54</f>
        <v>153.1</v>
      </c>
      <c r="S54" s="15">
        <f t="shared" si="23"/>
        <v>33.196721311475414</v>
      </c>
      <c r="T54" s="15">
        <v>1191.4000000000001</v>
      </c>
      <c r="U54" s="15">
        <v>7.1</v>
      </c>
      <c r="V54" s="15">
        <f>((T54*R53)-(U54*Q54))/R54</f>
        <v>1567.343696930111</v>
      </c>
      <c r="W54" s="15">
        <f t="shared" si="24"/>
        <v>99.40406244754071</v>
      </c>
      <c r="X54" s="30">
        <f>AVERAGE(L54,S54)</f>
        <v>32.991803278688522</v>
      </c>
      <c r="Y54" s="30">
        <f>STDEV(L54,S54)</f>
        <v>0.28979786114203288</v>
      </c>
      <c r="Z54" s="30">
        <f>AVERAGE(P54,W54)</f>
        <v>99.201610702323762</v>
      </c>
      <c r="AA54" s="30">
        <f>STDEV(P54,W54)</f>
        <v>0.28631000381190974</v>
      </c>
    </row>
    <row r="55" spans="1:35" x14ac:dyDescent="0.2">
      <c r="A55" s="15" t="s">
        <v>0</v>
      </c>
      <c r="B55" s="15">
        <v>30</v>
      </c>
      <c r="C55" s="15">
        <v>4</v>
      </c>
      <c r="D55" s="15">
        <v>3000</v>
      </c>
      <c r="E55" s="15">
        <v>12</v>
      </c>
      <c r="F55" s="15" t="s">
        <v>79</v>
      </c>
      <c r="G55" s="15">
        <v>720</v>
      </c>
      <c r="H55" s="15">
        <v>12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35" x14ac:dyDescent="0.2">
      <c r="A56" s="15" t="s">
        <v>0</v>
      </c>
      <c r="B56" s="15">
        <v>30</v>
      </c>
      <c r="C56" s="15">
        <v>4</v>
      </c>
      <c r="D56" s="15">
        <v>3000</v>
      </c>
      <c r="E56" s="15">
        <v>12</v>
      </c>
      <c r="F56" s="15" t="s">
        <v>104</v>
      </c>
      <c r="G56" s="15">
        <v>60</v>
      </c>
      <c r="H56" s="15">
        <v>1</v>
      </c>
      <c r="I56" s="15">
        <v>1</v>
      </c>
      <c r="J56" s="15">
        <v>145.69999999999999</v>
      </c>
      <c r="K56" s="15">
        <f>($B$3-J56)</f>
        <v>104.30000000000001</v>
      </c>
      <c r="L56" s="15">
        <f>J56/1000/$B$2</f>
        <v>99.521857923497265</v>
      </c>
      <c r="M56" s="15">
        <v>1000</v>
      </c>
      <c r="N56" s="15">
        <v>735.1</v>
      </c>
      <c r="O56" s="15">
        <f>((M56*$B$3)-(N56*J56))/K56</f>
        <v>1370.0472674976029</v>
      </c>
      <c r="P56" s="15">
        <f>(1-N56/M56)*100</f>
        <v>26.490000000000002</v>
      </c>
      <c r="Q56" s="15">
        <v>145.30000000000001</v>
      </c>
      <c r="R56" s="15">
        <f>($B$3-Q56)</f>
        <v>104.69999999999999</v>
      </c>
      <c r="S56" s="15">
        <f>Q56/1000/$B$2</f>
        <v>99.248633879781423</v>
      </c>
      <c r="T56" s="15">
        <v>1000</v>
      </c>
      <c r="U56" s="15">
        <v>737</v>
      </c>
      <c r="V56" s="15">
        <f>((T56*$B$3)-(U56*Q56))/R56</f>
        <v>1364.9847182425981</v>
      </c>
      <c r="W56" s="15">
        <f>(1-U56/T56)*100</f>
        <v>26.3</v>
      </c>
      <c r="X56" s="30">
        <f>AVERAGE(L56,S56)</f>
        <v>99.385245901639337</v>
      </c>
      <c r="Y56" s="30">
        <f>STDEV(L56,S56)</f>
        <v>0.19319857409468186</v>
      </c>
      <c r="Z56" s="30">
        <f>AVERAGE(P56,W56)</f>
        <v>26.395000000000003</v>
      </c>
      <c r="AA56" s="30">
        <f>STDEV(P56,W56)</f>
        <v>0.13435028842544494</v>
      </c>
      <c r="AB56" s="30">
        <f>L56/L54</f>
        <v>3.0354166666666669</v>
      </c>
      <c r="AC56" s="30">
        <f>S56/S54</f>
        <v>2.9897119341563783</v>
      </c>
      <c r="AD56" s="30">
        <f>X56/X54</f>
        <v>3.012422360248447</v>
      </c>
      <c r="AE56" s="30">
        <f>STDEV(AB56,AC56)</f>
        <v>3.2318126290342336E-2</v>
      </c>
      <c r="AF56" s="30">
        <f>P56/P54</f>
        <v>0.26757803075354686</v>
      </c>
      <c r="AG56" s="30">
        <f>W56/W54</f>
        <v>0.26457671198176136</v>
      </c>
      <c r="AH56" s="43">
        <f>Z56/Z54</f>
        <v>0.26607430880536809</v>
      </c>
      <c r="AI56" s="30">
        <f>STDEV(AF56,AG56)</f>
        <v>2.1222528560320064E-3</v>
      </c>
    </row>
    <row r="57" spans="1:35" x14ac:dyDescent="0.2">
      <c r="A57" s="15" t="s">
        <v>0</v>
      </c>
      <c r="B57" s="15">
        <v>30</v>
      </c>
      <c r="C57" s="15">
        <v>4</v>
      </c>
      <c r="D57" s="15">
        <v>3000</v>
      </c>
      <c r="E57" s="15">
        <v>12</v>
      </c>
      <c r="F57" s="15" t="s">
        <v>104</v>
      </c>
      <c r="G57" s="15">
        <v>120</v>
      </c>
      <c r="H57" s="15">
        <v>2</v>
      </c>
      <c r="I57" s="15">
        <v>1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35" x14ac:dyDescent="0.2">
      <c r="A58" s="38" t="s">
        <v>81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35" x14ac:dyDescent="0.2">
      <c r="A59" s="15" t="s">
        <v>5</v>
      </c>
      <c r="B59" s="15">
        <v>12</v>
      </c>
      <c r="C59" s="15">
        <v>4</v>
      </c>
      <c r="D59" s="15">
        <v>6000</v>
      </c>
      <c r="E59" s="15">
        <v>24</v>
      </c>
      <c r="F59" s="15" t="s">
        <v>103</v>
      </c>
      <c r="G59" s="15">
        <v>60</v>
      </c>
      <c r="H59" s="15">
        <v>1</v>
      </c>
      <c r="I59" s="15">
        <v>1</v>
      </c>
      <c r="J59" s="15">
        <v>47.9</v>
      </c>
      <c r="K59" s="15">
        <f>($B$3-J59)</f>
        <v>202.1</v>
      </c>
      <c r="L59" s="15">
        <f>J59/1000/$B$2</f>
        <v>32.718579234972673</v>
      </c>
      <c r="M59" s="15">
        <v>1000</v>
      </c>
      <c r="N59" s="15">
        <v>21</v>
      </c>
      <c r="O59" s="15">
        <f>((M59*$B$3)-(N59*J59))/K59</f>
        <v>1232.034141514102</v>
      </c>
      <c r="P59" s="15">
        <f>(1-N59/M59)*100</f>
        <v>97.899999999999991</v>
      </c>
      <c r="Q59" s="15">
        <v>48.4</v>
      </c>
      <c r="R59" s="15">
        <f>($B$3-Q59)</f>
        <v>201.6</v>
      </c>
      <c r="S59" s="15">
        <f>Q59/1000/$B$2</f>
        <v>33.060109289617486</v>
      </c>
      <c r="T59" s="15">
        <v>1000</v>
      </c>
      <c r="U59" s="15">
        <v>17</v>
      </c>
      <c r="V59" s="15">
        <f>((T59*$B$3)-(U59*Q59))/R59</f>
        <v>1235.9980158730159</v>
      </c>
      <c r="W59" s="15">
        <f>(1-U59/T59)*100</f>
        <v>98.3</v>
      </c>
      <c r="X59" s="30">
        <f>AVERAGE(L59,S59)</f>
        <v>32.889344262295083</v>
      </c>
      <c r="Y59" s="30">
        <f>STDEV(L59,S59)</f>
        <v>0.24149821761835988</v>
      </c>
      <c r="Z59" s="30">
        <f>AVERAGE(P59,W59)</f>
        <v>98.1</v>
      </c>
      <c r="AA59" s="30">
        <f>STDEV(P59,W59)</f>
        <v>0.28284271247462306</v>
      </c>
    </row>
    <row r="60" spans="1:35" x14ac:dyDescent="0.2">
      <c r="A60" s="15" t="s">
        <v>5</v>
      </c>
      <c r="B60" s="15">
        <v>12</v>
      </c>
      <c r="C60" s="15">
        <v>4</v>
      </c>
      <c r="D60" s="15">
        <v>6000</v>
      </c>
      <c r="E60" s="15">
        <v>24</v>
      </c>
      <c r="F60" s="15" t="s">
        <v>103</v>
      </c>
      <c r="G60" s="15">
        <v>120</v>
      </c>
      <c r="H60" s="15">
        <v>2</v>
      </c>
      <c r="I60" s="15">
        <v>1</v>
      </c>
      <c r="J60" s="15">
        <v>48</v>
      </c>
      <c r="K60" s="15">
        <f>K59-J60</f>
        <v>154.1</v>
      </c>
      <c r="L60" s="15">
        <f>J60/1000/$B$2</f>
        <v>32.786885245901637</v>
      </c>
      <c r="M60" s="15">
        <v>1183</v>
      </c>
      <c r="N60" s="15">
        <v>31.9</v>
      </c>
      <c r="O60" s="15">
        <f>((M60*K59)-(N60*J60))/K60</f>
        <v>1541.5515898767032</v>
      </c>
      <c r="P60" s="15">
        <f>(1-N60/M60)*100</f>
        <v>97.303465765004233</v>
      </c>
      <c r="Q60" s="15">
        <v>47.7</v>
      </c>
      <c r="R60" s="15">
        <f>R59-Q60</f>
        <v>153.89999999999998</v>
      </c>
      <c r="S60" s="15">
        <f>Q60/1000/$B$2</f>
        <v>32.581967213114758</v>
      </c>
      <c r="T60" s="15">
        <v>1186.2</v>
      </c>
      <c r="U60" s="15">
        <v>29.7</v>
      </c>
      <c r="V60" s="15">
        <f>((T60*R59)-(U60*Q60))/R60</f>
        <v>1544.647368421053</v>
      </c>
      <c r="W60" s="15">
        <f>(1-U60/T60)*100</f>
        <v>97.496206373292864</v>
      </c>
      <c r="X60" s="30">
        <f>AVERAGE(L60,S60)</f>
        <v>32.684426229508198</v>
      </c>
      <c r="Y60" s="30">
        <f>STDEV(L60,S60)</f>
        <v>0.14489893057100889</v>
      </c>
      <c r="Z60" s="30">
        <f>AVERAGE(P60,W60)</f>
        <v>97.399836069148549</v>
      </c>
      <c r="AA60" s="30">
        <f>STDEV(P60,W60)</f>
        <v>0.13628819113091087</v>
      </c>
    </row>
    <row r="61" spans="1:35" x14ac:dyDescent="0.2">
      <c r="A61" s="15" t="s">
        <v>5</v>
      </c>
      <c r="B61" s="15">
        <v>12</v>
      </c>
      <c r="C61" s="15">
        <v>4</v>
      </c>
      <c r="D61" s="15">
        <v>6000</v>
      </c>
      <c r="E61" s="15">
        <v>24</v>
      </c>
      <c r="F61" s="15" t="s">
        <v>79</v>
      </c>
      <c r="G61" s="15">
        <v>1440</v>
      </c>
      <c r="H61" s="15">
        <v>24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35" x14ac:dyDescent="0.2">
      <c r="A62" s="15" t="s">
        <v>5</v>
      </c>
      <c r="B62" s="15">
        <v>12</v>
      </c>
      <c r="C62" s="15">
        <v>4</v>
      </c>
      <c r="D62" s="15">
        <v>6000</v>
      </c>
      <c r="E62" s="15">
        <v>24</v>
      </c>
      <c r="F62" s="15" t="s">
        <v>104</v>
      </c>
      <c r="G62" s="15">
        <v>60</v>
      </c>
      <c r="H62" s="15">
        <v>1</v>
      </c>
      <c r="I62" s="15">
        <v>1</v>
      </c>
      <c r="J62" s="15"/>
      <c r="K62" s="15"/>
      <c r="L62" s="15"/>
      <c r="M62" s="15">
        <v>1000</v>
      </c>
      <c r="N62" s="15">
        <v>967.3</v>
      </c>
      <c r="O62" s="15"/>
      <c r="P62" s="15">
        <f>(1-N62/M62)*100</f>
        <v>3.2700000000000062</v>
      </c>
      <c r="Q62" s="15"/>
      <c r="R62" s="15"/>
      <c r="S62" s="15"/>
      <c r="T62" s="15">
        <v>1000</v>
      </c>
      <c r="U62" s="15">
        <v>964.3</v>
      </c>
      <c r="V62" s="15"/>
      <c r="W62" s="15">
        <f>(1-U62/T62)*100</f>
        <v>3.5700000000000065</v>
      </c>
      <c r="Z62" s="30">
        <f>AVERAGE(P62,W62)</f>
        <v>3.4200000000000061</v>
      </c>
      <c r="AA62" s="30">
        <f>STDEV(P62,W62)</f>
        <v>0.21213203435596445</v>
      </c>
    </row>
    <row r="63" spans="1:35" x14ac:dyDescent="0.2">
      <c r="A63" s="15" t="s">
        <v>5</v>
      </c>
      <c r="B63" s="15">
        <v>12</v>
      </c>
      <c r="C63" s="15">
        <v>4</v>
      </c>
      <c r="D63" s="15">
        <v>6000</v>
      </c>
      <c r="E63" s="15">
        <v>24</v>
      </c>
      <c r="F63" s="15" t="s">
        <v>104</v>
      </c>
      <c r="G63" s="15">
        <v>120</v>
      </c>
      <c r="H63" s="15">
        <v>2</v>
      </c>
      <c r="I63" s="15">
        <v>1</v>
      </c>
      <c r="J63" s="15"/>
      <c r="K63" s="15"/>
      <c r="L63" s="15"/>
      <c r="M63" s="15">
        <v>1027</v>
      </c>
      <c r="N63" s="15">
        <v>997.5</v>
      </c>
      <c r="O63" s="15"/>
      <c r="P63" s="15">
        <f>(1-N63/M63)*100</f>
        <v>2.8724440116845162</v>
      </c>
      <c r="Q63" s="15"/>
      <c r="R63" s="15"/>
      <c r="S63" s="15"/>
      <c r="T63" s="15">
        <v>1029.5999999999999</v>
      </c>
      <c r="U63" s="15">
        <v>999</v>
      </c>
      <c r="V63" s="15"/>
      <c r="W63" s="15">
        <f>(1-U63/T63)*100</f>
        <v>2.9720279720279685</v>
      </c>
      <c r="Z63" s="30">
        <f>AVERAGE(P63,W63)</f>
        <v>2.9222359918562422</v>
      </c>
      <c r="AA63" s="30">
        <f>STDEV(P63,W63)</f>
        <v>7.0416493656267343E-2</v>
      </c>
      <c r="AF63" s="30">
        <f>P63/P60</f>
        <v>2.9520469688322323E-2</v>
      </c>
      <c r="AG63" s="30">
        <f>W63/W60</f>
        <v>3.048352425784329E-2</v>
      </c>
      <c r="AH63" s="30">
        <f>Z63/Z60</f>
        <v>3.0002473410546755E-2</v>
      </c>
      <c r="AI63" s="30">
        <f>STDEV(AF63,AG63)</f>
        <v>6.8098241676096678E-4</v>
      </c>
    </row>
    <row r="64" spans="1:35" x14ac:dyDescent="0.2">
      <c r="A64" s="15" t="s">
        <v>1</v>
      </c>
      <c r="B64" s="15">
        <v>30</v>
      </c>
      <c r="C64" s="15">
        <v>4</v>
      </c>
      <c r="D64" s="15">
        <v>6000</v>
      </c>
      <c r="E64" s="15">
        <v>24</v>
      </c>
      <c r="F64" s="15" t="s">
        <v>103</v>
      </c>
      <c r="G64" s="15">
        <v>60</v>
      </c>
      <c r="H64" s="15">
        <v>1</v>
      </c>
      <c r="I64" s="15">
        <v>1</v>
      </c>
      <c r="J64" s="15">
        <v>48.8</v>
      </c>
      <c r="K64" s="15">
        <f>$B$3-J64</f>
        <v>201.2</v>
      </c>
      <c r="L64" s="15">
        <f>J64/1000/$B$2</f>
        <v>33.333333333333329</v>
      </c>
      <c r="M64" s="15">
        <v>1000</v>
      </c>
      <c r="N64" s="15">
        <v>9</v>
      </c>
      <c r="O64" s="15">
        <f>((M64*$B$3)-(N64*J64))/K64</f>
        <v>1240.3618290258451</v>
      </c>
      <c r="P64" s="15">
        <f t="shared" ref="P64:P65" si="25">(1-N64/M64)*100</f>
        <v>99.1</v>
      </c>
      <c r="Q64" s="15">
        <v>48.6</v>
      </c>
      <c r="R64" s="15">
        <f>$B$3-Q64</f>
        <v>201.4</v>
      </c>
      <c r="S64" s="15">
        <f t="shared" ref="S63:S65" si="26">Q64/1000/$B$2</f>
        <v>33.196721311475414</v>
      </c>
      <c r="T64" s="15">
        <v>1000</v>
      </c>
      <c r="U64" s="15">
        <v>17</v>
      </c>
      <c r="V64" s="15">
        <f>((T64*$B$3)-(U64*Q64))/R64</f>
        <v>1237.2085402184707</v>
      </c>
      <c r="W64" s="15">
        <f t="shared" ref="W64:W65" si="27">(1-U64/T64)*100</f>
        <v>98.3</v>
      </c>
      <c r="X64" s="30">
        <f>AVERAGE(L64,S64)</f>
        <v>33.265027322404372</v>
      </c>
      <c r="Y64" s="30">
        <f>STDEV(L64,S64)</f>
        <v>9.6599287047335919E-2</v>
      </c>
      <c r="Z64" s="30">
        <f>AVERAGE(P64,W64)</f>
        <v>98.699999999999989</v>
      </c>
      <c r="AA64" s="30">
        <f>STDEV(P64,W64)</f>
        <v>0.56568542494923602</v>
      </c>
    </row>
    <row r="65" spans="1:35" x14ac:dyDescent="0.2">
      <c r="A65" s="15" t="s">
        <v>1</v>
      </c>
      <c r="B65" s="15">
        <v>30</v>
      </c>
      <c r="C65" s="15">
        <v>4</v>
      </c>
      <c r="D65" s="15">
        <v>6000</v>
      </c>
      <c r="E65" s="15">
        <v>24</v>
      </c>
      <c r="F65" s="15" t="s">
        <v>103</v>
      </c>
      <c r="G65" s="15">
        <v>120</v>
      </c>
      <c r="H65" s="15">
        <v>2</v>
      </c>
      <c r="I65" s="15">
        <v>1</v>
      </c>
      <c r="J65" s="15">
        <v>48.1</v>
      </c>
      <c r="K65" s="15">
        <f>K64-J65</f>
        <v>153.1</v>
      </c>
      <c r="L65" s="15">
        <f>J65/1000/$B$2</f>
        <v>32.855191256830601</v>
      </c>
      <c r="M65" s="15">
        <v>1188</v>
      </c>
      <c r="N65" s="15">
        <v>20.2</v>
      </c>
      <c r="O65" s="15">
        <f>((M65*K64)-(N65*J65))/K65</f>
        <v>1554.8920966688438</v>
      </c>
      <c r="P65" s="15">
        <f t="shared" si="25"/>
        <v>98.299663299663294</v>
      </c>
      <c r="Q65" s="15">
        <v>48.5</v>
      </c>
      <c r="R65" s="15">
        <f>R64-Q65</f>
        <v>152.9</v>
      </c>
      <c r="S65" s="15">
        <f t="shared" si="26"/>
        <v>33.12841530054645</v>
      </c>
      <c r="T65" s="15">
        <v>1189.4000000000001</v>
      </c>
      <c r="U65" s="15">
        <v>15.5</v>
      </c>
      <c r="V65" s="15">
        <f>((T65*R64)-(U65*Q65))/R65</f>
        <v>1561.7620013080445</v>
      </c>
      <c r="W65" s="15">
        <f t="shared" si="27"/>
        <v>98.696821927022029</v>
      </c>
      <c r="X65" s="30">
        <f>AVERAGE(L65,S65)</f>
        <v>32.991803278688522</v>
      </c>
      <c r="Y65" s="30">
        <f>STDEV(L65,S65)</f>
        <v>0.19319857409468688</v>
      </c>
      <c r="Z65" s="30">
        <f>AVERAGE(P65,W65)</f>
        <v>98.498242613342654</v>
      </c>
      <c r="AA65" s="30">
        <f>STDEV(P65,W65)</f>
        <v>0.28083355861210252</v>
      </c>
    </row>
    <row r="66" spans="1:35" x14ac:dyDescent="0.2">
      <c r="A66" s="15" t="s">
        <v>1</v>
      </c>
      <c r="B66" s="15">
        <v>30</v>
      </c>
      <c r="C66" s="15">
        <v>4</v>
      </c>
      <c r="D66" s="15">
        <v>6000</v>
      </c>
      <c r="E66" s="15">
        <v>24</v>
      </c>
      <c r="F66" s="15" t="s">
        <v>79</v>
      </c>
      <c r="G66" s="15">
        <v>1440</v>
      </c>
      <c r="H66" s="15">
        <v>24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35" x14ac:dyDescent="0.2">
      <c r="A67" s="15" t="s">
        <v>1</v>
      </c>
      <c r="B67" s="15">
        <v>30</v>
      </c>
      <c r="C67" s="15">
        <v>4</v>
      </c>
      <c r="D67" s="15">
        <v>6000</v>
      </c>
      <c r="E67" s="15">
        <v>24</v>
      </c>
      <c r="F67" s="15" t="s">
        <v>104</v>
      </c>
      <c r="G67" s="15">
        <v>60</v>
      </c>
      <c r="H67" s="15">
        <v>1</v>
      </c>
      <c r="I67" s="15">
        <v>1</v>
      </c>
      <c r="J67" s="15"/>
      <c r="K67" s="41"/>
      <c r="L67" s="15"/>
      <c r="M67" s="15">
        <v>1000</v>
      </c>
      <c r="N67" s="15">
        <v>945.2</v>
      </c>
      <c r="O67" s="15"/>
      <c r="P67" s="15">
        <f>(1-N67/M67)*100</f>
        <v>5.479999999999996</v>
      </c>
      <c r="Q67" s="15"/>
      <c r="R67" s="15"/>
      <c r="S67" s="15"/>
      <c r="T67" s="15">
        <v>1000</v>
      </c>
      <c r="U67" s="15">
        <v>942.2</v>
      </c>
      <c r="V67" s="15"/>
      <c r="W67" s="15">
        <f>(1-U67/T67)*100</f>
        <v>5.7799999999999958</v>
      </c>
      <c r="Z67" s="30">
        <f>AVERAGE(P67,W67)</f>
        <v>5.6299999999999955</v>
      </c>
      <c r="AA67" s="30">
        <f>STDEV(P67,W67)</f>
        <v>0.21213203435596412</v>
      </c>
    </row>
    <row r="68" spans="1:35" x14ac:dyDescent="0.2">
      <c r="A68" s="15" t="s">
        <v>1</v>
      </c>
      <c r="B68" s="15">
        <v>30</v>
      </c>
      <c r="C68" s="15">
        <v>4</v>
      </c>
      <c r="D68" s="15">
        <v>6000</v>
      </c>
      <c r="E68" s="15">
        <v>24</v>
      </c>
      <c r="F68" s="15" t="s">
        <v>104</v>
      </c>
      <c r="G68" s="15">
        <v>120</v>
      </c>
      <c r="H68" s="15">
        <v>2</v>
      </c>
      <c r="I68" s="15">
        <v>1</v>
      </c>
      <c r="J68" s="15"/>
      <c r="K68" s="41"/>
      <c r="L68" s="15"/>
      <c r="M68" s="15">
        <v>1048.5</v>
      </c>
      <c r="N68" s="15">
        <v>997.4</v>
      </c>
      <c r="O68" s="15"/>
      <c r="P68" s="15">
        <f>(1-N68/M68)*100</f>
        <v>4.873628993800672</v>
      </c>
      <c r="Q68" s="15"/>
      <c r="R68" s="15"/>
      <c r="S68" s="15"/>
      <c r="T68" s="15">
        <v>1051.5</v>
      </c>
      <c r="U68" s="15">
        <v>999.2</v>
      </c>
      <c r="V68" s="15"/>
      <c r="W68" s="15">
        <f>(1-U68/T68)*100</f>
        <v>4.9738468854017999</v>
      </c>
      <c r="Z68" s="30">
        <f>AVERAGE(P68,W68)</f>
        <v>4.923737939601236</v>
      </c>
      <c r="AA68" s="30">
        <f>STDEV(P68,W68)</f>
        <v>7.0864750747375832E-2</v>
      </c>
      <c r="AF68" s="30">
        <f>P68/P65</f>
        <v>4.9579305057674251E-2</v>
      </c>
      <c r="AG68" s="30">
        <f>W68/W65</f>
        <v>5.0395208156545711E-2</v>
      </c>
      <c r="AH68" s="30">
        <f>Z68/Z65</f>
        <v>4.9988079065831602E-2</v>
      </c>
      <c r="AI68" s="30">
        <f>STDEV(AF68,AG68)</f>
        <v>5.7693061400312712E-4</v>
      </c>
    </row>
    <row r="69" spans="1:35" x14ac:dyDescent="0.2">
      <c r="A69" s="15" t="s">
        <v>0</v>
      </c>
      <c r="B69" s="15">
        <v>30</v>
      </c>
      <c r="C69" s="15">
        <v>4</v>
      </c>
      <c r="D69" s="15">
        <v>6000</v>
      </c>
      <c r="E69" s="15">
        <v>24</v>
      </c>
      <c r="F69" s="15" t="s">
        <v>103</v>
      </c>
      <c r="G69" s="15">
        <v>60</v>
      </c>
      <c r="H69" s="15">
        <v>1</v>
      </c>
      <c r="I69" s="15">
        <v>1</v>
      </c>
      <c r="J69" s="15">
        <v>48.8</v>
      </c>
      <c r="K69" s="15">
        <f>$B$3-J69</f>
        <v>201.2</v>
      </c>
      <c r="L69" s="15">
        <f>J69/1000/$B$2</f>
        <v>33.333333333333329</v>
      </c>
      <c r="M69" s="15">
        <v>1000</v>
      </c>
      <c r="N69" s="15">
        <v>16</v>
      </c>
      <c r="O69" s="15">
        <f>((M69*$B$3)-(N69*J69))/K69</f>
        <v>1238.6640159045726</v>
      </c>
      <c r="P69" s="15">
        <f t="shared" ref="P69:P70" si="28">(1-N69/M69)*100</f>
        <v>98.4</v>
      </c>
      <c r="Q69" s="15">
        <v>49.1</v>
      </c>
      <c r="R69" s="15">
        <f>$B$3-Q69</f>
        <v>200.9</v>
      </c>
      <c r="S69" s="15">
        <f t="shared" ref="S68:S70" si="29">Q69/1000/$B$2</f>
        <v>33.538251366120221</v>
      </c>
      <c r="T69" s="15">
        <v>1000</v>
      </c>
      <c r="U69" s="15">
        <v>16</v>
      </c>
      <c r="V69" s="15">
        <f>((T69*$B$3)-(U69*Q69))/R69</f>
        <v>1240.4897959183672</v>
      </c>
      <c r="W69" s="15">
        <f t="shared" ref="W69:W70" si="30">(1-U69/T69)*100</f>
        <v>98.4</v>
      </c>
      <c r="X69" s="30">
        <f>AVERAGE(L69,S69)</f>
        <v>33.435792349726775</v>
      </c>
      <c r="Y69" s="30">
        <f>STDEV(L69,S69)</f>
        <v>0.14489893057101894</v>
      </c>
      <c r="Z69" s="30">
        <f>AVERAGE(P69,W69)</f>
        <v>98.4</v>
      </c>
      <c r="AA69" s="30">
        <f>STDEV(P69,W69)</f>
        <v>0</v>
      </c>
    </row>
    <row r="70" spans="1:35" x14ac:dyDescent="0.2">
      <c r="A70" s="15" t="s">
        <v>0</v>
      </c>
      <c r="B70" s="15">
        <v>30</v>
      </c>
      <c r="C70" s="15">
        <v>4</v>
      </c>
      <c r="D70" s="15">
        <v>6000</v>
      </c>
      <c r="E70" s="15">
        <v>24</v>
      </c>
      <c r="F70" s="15" t="s">
        <v>103</v>
      </c>
      <c r="G70" s="15">
        <v>120</v>
      </c>
      <c r="H70" s="15">
        <v>2</v>
      </c>
      <c r="I70" s="15">
        <v>1</v>
      </c>
      <c r="J70" s="15">
        <v>49</v>
      </c>
      <c r="K70" s="15">
        <f>K69-J70</f>
        <v>152.19999999999999</v>
      </c>
      <c r="L70" s="15">
        <f>J70/1000/$B$2</f>
        <v>33.469945355191257</v>
      </c>
      <c r="M70" s="15">
        <v>1187.3</v>
      </c>
      <c r="N70" s="15">
        <v>14.2</v>
      </c>
      <c r="O70" s="15">
        <f>((M70*K69)-(N70*J70))/K70</f>
        <v>1564.9734559789752</v>
      </c>
      <c r="P70" s="15">
        <f t="shared" si="28"/>
        <v>98.804009096268842</v>
      </c>
      <c r="Q70" s="15">
        <v>48.5</v>
      </c>
      <c r="R70" s="15">
        <f>R69-Q70</f>
        <v>152.4</v>
      </c>
      <c r="S70" s="15">
        <f t="shared" si="29"/>
        <v>33.12841530054645</v>
      </c>
      <c r="T70" s="15">
        <v>1189.3</v>
      </c>
      <c r="U70" s="15">
        <v>11.9</v>
      </c>
      <c r="V70" s="15">
        <f>((T70*R69)-(U70*Q70))/R70</f>
        <v>1563.9975065616798</v>
      </c>
      <c r="W70" s="15">
        <f t="shared" si="30"/>
        <v>98.999411418481458</v>
      </c>
      <c r="X70" s="30">
        <f>AVERAGE(L70,S70)</f>
        <v>33.299180327868854</v>
      </c>
      <c r="Y70" s="30">
        <f>STDEV(L70,S70)</f>
        <v>0.24149821761835485</v>
      </c>
      <c r="Z70" s="30">
        <f>AVERAGE(P70,W70)</f>
        <v>98.901710257375157</v>
      </c>
      <c r="AA70" s="30">
        <f>STDEV(P70,W70)</f>
        <v>0.13817030709613906</v>
      </c>
    </row>
    <row r="71" spans="1:35" x14ac:dyDescent="0.2">
      <c r="A71" s="15" t="s">
        <v>0</v>
      </c>
      <c r="B71" s="15">
        <v>30</v>
      </c>
      <c r="C71" s="15">
        <v>4</v>
      </c>
      <c r="D71" s="15">
        <v>6000</v>
      </c>
      <c r="E71" s="15">
        <v>24</v>
      </c>
      <c r="F71" s="15" t="s">
        <v>79</v>
      </c>
      <c r="G71" s="15">
        <v>1440</v>
      </c>
      <c r="H71" s="15">
        <v>24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35" x14ac:dyDescent="0.2">
      <c r="A72" s="15" t="s">
        <v>0</v>
      </c>
      <c r="B72" s="15">
        <v>30</v>
      </c>
      <c r="C72" s="15">
        <v>4</v>
      </c>
      <c r="D72" s="15">
        <v>6000</v>
      </c>
      <c r="E72" s="15">
        <v>24</v>
      </c>
      <c r="F72" s="15" t="s">
        <v>104</v>
      </c>
      <c r="G72" s="15">
        <v>60</v>
      </c>
      <c r="H72" s="15">
        <v>1</v>
      </c>
      <c r="I72" s="15">
        <v>1</v>
      </c>
      <c r="J72" s="15"/>
      <c r="K72" s="15"/>
      <c r="L72" s="15"/>
      <c r="M72" s="15">
        <v>1000</v>
      </c>
      <c r="N72" s="15">
        <v>893.6</v>
      </c>
      <c r="O72" s="15"/>
      <c r="P72" s="15">
        <f>(1-N72/M72)*100</f>
        <v>10.639999999999993</v>
      </c>
      <c r="Q72" s="15"/>
      <c r="R72" s="15"/>
      <c r="S72" s="15"/>
      <c r="T72" s="15">
        <v>1000</v>
      </c>
      <c r="U72" s="15">
        <v>896.6</v>
      </c>
      <c r="V72" s="15"/>
      <c r="W72" s="15">
        <f>(1-U72/T72)*100</f>
        <v>10.339999999999993</v>
      </c>
      <c r="Z72" s="30">
        <f>AVERAGE(P72,W72)</f>
        <v>10.489999999999993</v>
      </c>
      <c r="AA72" s="30">
        <f>STDEV(P72,W72)</f>
        <v>0.21213203435596475</v>
      </c>
      <c r="AF72" s="30">
        <f>P72/P70</f>
        <v>0.10768793794220435</v>
      </c>
      <c r="AG72" s="30">
        <f>W72/W70</f>
        <v>0.10444506539833524</v>
      </c>
      <c r="AH72" s="30">
        <f>Z72/Z70</f>
        <v>0.10606489991630602</v>
      </c>
      <c r="AI72" s="30">
        <f>STDEV(AF72,AG72)</f>
        <v>2.2930571662935178E-3</v>
      </c>
    </row>
    <row r="73" spans="1:35" x14ac:dyDescent="0.2">
      <c r="A73" s="15" t="s">
        <v>0</v>
      </c>
      <c r="B73" s="15">
        <v>30</v>
      </c>
      <c r="C73" s="15">
        <v>4</v>
      </c>
      <c r="D73" s="15">
        <v>6000</v>
      </c>
      <c r="E73" s="15">
        <v>24</v>
      </c>
      <c r="F73" s="15" t="s">
        <v>104</v>
      </c>
      <c r="G73" s="15">
        <v>120</v>
      </c>
      <c r="H73" s="15">
        <v>2</v>
      </c>
      <c r="I73" s="15">
        <v>1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35" x14ac:dyDescent="0.2">
      <c r="A74" s="39" t="s">
        <v>105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 spans="1:35" ht="32" x14ac:dyDescent="0.2">
      <c r="A75" s="29" t="s">
        <v>19</v>
      </c>
      <c r="B75" s="29" t="s">
        <v>26</v>
      </c>
      <c r="C75" s="29" t="s">
        <v>8</v>
      </c>
      <c r="D75" s="29" t="s">
        <v>74</v>
      </c>
      <c r="E75" s="29" t="s">
        <v>75</v>
      </c>
      <c r="F75" s="29" t="s">
        <v>86</v>
      </c>
      <c r="G75" s="29" t="s">
        <v>28</v>
      </c>
      <c r="H75" s="29" t="s">
        <v>4</v>
      </c>
      <c r="I75" s="29" t="s">
        <v>29</v>
      </c>
      <c r="J75" s="29" t="s">
        <v>87</v>
      </c>
      <c r="K75" s="29" t="s">
        <v>88</v>
      </c>
      <c r="L75" s="29" t="s">
        <v>89</v>
      </c>
      <c r="M75" s="29" t="s">
        <v>90</v>
      </c>
      <c r="N75" s="29" t="s">
        <v>91</v>
      </c>
      <c r="O75" s="29" t="s">
        <v>92</v>
      </c>
      <c r="P75" s="29" t="s">
        <v>93</v>
      </c>
      <c r="Q75" s="29" t="s">
        <v>94</v>
      </c>
      <c r="R75" s="29" t="s">
        <v>95</v>
      </c>
      <c r="S75" s="29" t="s">
        <v>96</v>
      </c>
      <c r="T75" s="29" t="s">
        <v>97</v>
      </c>
      <c r="U75" s="29" t="s">
        <v>98</v>
      </c>
      <c r="V75" s="29" t="s">
        <v>99</v>
      </c>
      <c r="W75" s="29" t="s">
        <v>100</v>
      </c>
      <c r="X75" s="44" t="s">
        <v>36</v>
      </c>
      <c r="Y75" s="44" t="s">
        <v>37</v>
      </c>
      <c r="Z75" s="44" t="s">
        <v>101</v>
      </c>
      <c r="AA75" s="44" t="s">
        <v>102</v>
      </c>
      <c r="AB75" s="44"/>
      <c r="AC75" s="44"/>
      <c r="AD75" s="31"/>
      <c r="AE75" s="31"/>
      <c r="AF75" s="31"/>
      <c r="AG75" s="31"/>
      <c r="AH75" s="31"/>
      <c r="AI75" s="31"/>
    </row>
    <row r="76" spans="1:35" x14ac:dyDescent="0.2">
      <c r="A76" s="38" t="s">
        <v>76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35" x14ac:dyDescent="0.2">
      <c r="A77" s="15" t="s">
        <v>5</v>
      </c>
      <c r="B77" s="15">
        <v>12</v>
      </c>
      <c r="C77" s="15">
        <v>7</v>
      </c>
      <c r="D77" s="15">
        <v>0</v>
      </c>
      <c r="E77" s="15">
        <v>0</v>
      </c>
      <c r="F77" s="15" t="s">
        <v>103</v>
      </c>
      <c r="G77" s="15">
        <v>60</v>
      </c>
      <c r="H77" s="15">
        <v>1</v>
      </c>
      <c r="I77" s="15">
        <v>1</v>
      </c>
      <c r="J77" s="15">
        <v>48.4</v>
      </c>
      <c r="K77" s="15">
        <f>($B$3-J77)</f>
        <v>201.6</v>
      </c>
      <c r="L77" s="15">
        <f>J77/1000/$B$2</f>
        <v>33.060109289617486</v>
      </c>
      <c r="M77" s="15">
        <v>1000</v>
      </c>
      <c r="N77" s="15">
        <v>24</v>
      </c>
      <c r="O77" s="15">
        <f>((M77*$B$3)-(N77*J77))/K77</f>
        <v>1234.3174603174602</v>
      </c>
      <c r="P77" s="15">
        <f>(1-N77/M77)*100</f>
        <v>97.6</v>
      </c>
      <c r="Q77" s="15">
        <v>48.1</v>
      </c>
      <c r="R77" s="15">
        <f>($B$3-Q77)</f>
        <v>201.9</v>
      </c>
      <c r="S77" s="15">
        <f>Q77/1000/$B$2</f>
        <v>32.855191256830601</v>
      </c>
      <c r="T77" s="15">
        <v>1000</v>
      </c>
      <c r="U77" s="15">
        <v>18</v>
      </c>
      <c r="V77" s="15">
        <f>((T77*$B$3)-(U77*Q77))/R77</f>
        <v>1233.948489351164</v>
      </c>
      <c r="W77" s="15">
        <f>(1-U77/T77)*100</f>
        <v>98.2</v>
      </c>
      <c r="X77" s="30">
        <f>AVERAGE(L77,S77)</f>
        <v>32.957650273224047</v>
      </c>
      <c r="Y77" s="30">
        <f>STDEV(L77,S77)</f>
        <v>0.14489893057101391</v>
      </c>
      <c r="Z77" s="30">
        <f>AVERAGE(P77,W77)</f>
        <v>97.9</v>
      </c>
      <c r="AA77" s="30">
        <f>STDEV(P77,W77)</f>
        <v>0.42426406871193451</v>
      </c>
    </row>
    <row r="78" spans="1:35" x14ac:dyDescent="0.2">
      <c r="A78" s="15" t="s">
        <v>5</v>
      </c>
      <c r="B78" s="15">
        <v>12</v>
      </c>
      <c r="C78" s="15">
        <v>7</v>
      </c>
      <c r="D78" s="15">
        <v>0</v>
      </c>
      <c r="E78" s="15">
        <v>0</v>
      </c>
      <c r="F78" s="15" t="s">
        <v>103</v>
      </c>
      <c r="G78" s="15">
        <v>120</v>
      </c>
      <c r="H78" s="15">
        <v>2</v>
      </c>
      <c r="I78" s="15">
        <v>1</v>
      </c>
      <c r="J78" s="15">
        <v>47.7</v>
      </c>
      <c r="K78" s="15">
        <f>K77-J78</f>
        <v>153.89999999999998</v>
      </c>
      <c r="L78" s="15">
        <f>J78/1000/$B$2</f>
        <v>32.581967213114758</v>
      </c>
      <c r="M78" s="15">
        <v>1183.7</v>
      </c>
      <c r="N78" s="15">
        <v>35.5</v>
      </c>
      <c r="O78" s="15">
        <f>((M78*K77)-(N78*J78))/K78</f>
        <v>1539.5748538011699</v>
      </c>
      <c r="P78" s="15">
        <f>(1-N78/M78)*100</f>
        <v>97.000929289515923</v>
      </c>
      <c r="Q78" s="15">
        <v>48.1</v>
      </c>
      <c r="R78" s="15">
        <f>R77-Q78</f>
        <v>153.80000000000001</v>
      </c>
      <c r="S78" s="15">
        <f>Q78/1000/$B$2</f>
        <v>32.855191256830601</v>
      </c>
      <c r="T78" s="15">
        <v>1187.3</v>
      </c>
      <c r="U78" s="15">
        <v>30.9</v>
      </c>
      <c r="V78" s="15">
        <f>((T78*R77)-(U78*Q78))/R78</f>
        <v>1548.9569570871258</v>
      </c>
      <c r="W78" s="15">
        <f>(1-U78/T78)*100</f>
        <v>97.39745641371178</v>
      </c>
      <c r="X78" s="30">
        <f>AVERAGE(L78,S78)</f>
        <v>32.71857923497268</v>
      </c>
      <c r="Y78" s="30">
        <f>STDEV(L78,S78)</f>
        <v>0.19319857409468189</v>
      </c>
      <c r="Z78" s="30">
        <f>AVERAGE(P78,W78)</f>
        <v>97.199192851613844</v>
      </c>
      <c r="AA78" s="30">
        <f>STDEV(P78,W78)</f>
        <v>0.28038701844329017</v>
      </c>
    </row>
    <row r="79" spans="1:35" x14ac:dyDescent="0.2">
      <c r="A79" s="15" t="s">
        <v>5</v>
      </c>
      <c r="B79" s="15">
        <v>12</v>
      </c>
      <c r="C79" s="15">
        <v>7</v>
      </c>
      <c r="D79" s="15">
        <v>0</v>
      </c>
      <c r="E79" s="15">
        <v>0</v>
      </c>
      <c r="F79" s="15" t="s">
        <v>77</v>
      </c>
      <c r="G79" s="15">
        <v>0</v>
      </c>
      <c r="H79" s="15">
        <v>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35" x14ac:dyDescent="0.2">
      <c r="A80" s="15" t="s">
        <v>5</v>
      </c>
      <c r="B80" s="15">
        <v>12</v>
      </c>
      <c r="C80" s="15">
        <v>7</v>
      </c>
      <c r="D80" s="15">
        <v>0</v>
      </c>
      <c r="E80" s="15">
        <v>0</v>
      </c>
      <c r="F80" s="15" t="s">
        <v>104</v>
      </c>
      <c r="G80" s="15">
        <v>60</v>
      </c>
      <c r="H80" s="15">
        <v>1</v>
      </c>
      <c r="I80" s="15">
        <v>1</v>
      </c>
      <c r="J80" s="15">
        <v>48.5</v>
      </c>
      <c r="K80" s="15">
        <f>$B$3-J80</f>
        <v>201.5</v>
      </c>
      <c r="L80" s="15">
        <f>J80/1000/$B$2</f>
        <v>33.12841530054645</v>
      </c>
      <c r="M80" s="15">
        <v>1000</v>
      </c>
      <c r="N80" s="15">
        <v>26</v>
      </c>
      <c r="O80" s="15">
        <f>((M80*$B$3)-(N80*J80))/K80</f>
        <v>1234.4367245657568</v>
      </c>
      <c r="P80" s="15">
        <f>(1-N80/M80)*100</f>
        <v>97.399999999999991</v>
      </c>
      <c r="Q80" s="15">
        <v>47.9</v>
      </c>
      <c r="R80" s="15">
        <f>$B$3-Q80</f>
        <v>202.1</v>
      </c>
      <c r="S80" s="15">
        <f>Q80/1000/$B$2</f>
        <v>32.718579234972673</v>
      </c>
      <c r="T80" s="15">
        <v>1000</v>
      </c>
      <c r="U80" s="15">
        <v>20</v>
      </c>
      <c r="V80" s="15">
        <f>((T80*$B$3)-(U80*Q80))/R80</f>
        <v>1232.2711528946068</v>
      </c>
      <c r="W80" s="15">
        <f>(1-U80/T80)*100</f>
        <v>98</v>
      </c>
      <c r="X80" s="30">
        <f>AVERAGE(L80,S80)</f>
        <v>32.923497267759558</v>
      </c>
      <c r="Y80" s="30">
        <f>STDEV(L80,S80)</f>
        <v>0.28979786114203288</v>
      </c>
      <c r="Z80" s="30">
        <f>AVERAGE(P80,W80)</f>
        <v>97.699999999999989</v>
      </c>
      <c r="AA80" s="30">
        <f>STDEV(P80,W80)</f>
        <v>0.42426406871193451</v>
      </c>
    </row>
    <row r="81" spans="1:35" x14ac:dyDescent="0.2">
      <c r="A81" s="15" t="s">
        <v>5</v>
      </c>
      <c r="B81" s="15">
        <v>12</v>
      </c>
      <c r="C81" s="15">
        <v>7</v>
      </c>
      <c r="D81" s="15">
        <v>0</v>
      </c>
      <c r="E81" s="15">
        <v>0</v>
      </c>
      <c r="F81" s="15" t="s">
        <v>104</v>
      </c>
      <c r="G81" s="15">
        <v>120</v>
      </c>
      <c r="H81" s="15">
        <v>2</v>
      </c>
      <c r="I81" s="15">
        <v>1</v>
      </c>
      <c r="J81" s="15">
        <v>47.7</v>
      </c>
      <c r="K81" s="15">
        <v>153</v>
      </c>
      <c r="L81" s="15">
        <f t="shared" ref="L81:L83" si="31">J81/1000/$B$2</f>
        <v>32.581967213114758</v>
      </c>
      <c r="M81" s="15">
        <v>1184.2</v>
      </c>
      <c r="N81" s="15">
        <v>35.5</v>
      </c>
      <c r="O81" s="15">
        <f>((M81*K80)-(N81*J81))/K81</f>
        <v>1548.5160130718955</v>
      </c>
      <c r="P81" s="15">
        <f>(1-N81/M81)*100</f>
        <v>97.002195575071781</v>
      </c>
      <c r="Q81" s="15">
        <v>48</v>
      </c>
      <c r="R81" s="15">
        <f>R80-Q81</f>
        <v>154.1</v>
      </c>
      <c r="S81" s="15">
        <f t="shared" ref="S81:S83" si="32">Q81/1000/$B$2</f>
        <v>32.786885245901637</v>
      </c>
      <c r="T81" s="15">
        <v>1187.3</v>
      </c>
      <c r="U81" s="15">
        <v>30.9</v>
      </c>
      <c r="V81" s="15">
        <f>((T81*R80)-(U81*Q81))/R81</f>
        <v>1547.5024659312135</v>
      </c>
      <c r="W81" s="15">
        <f>(1-U81/T81)*100</f>
        <v>97.39745641371178</v>
      </c>
      <c r="X81" s="30">
        <f>AVERAGE(L81,S81)</f>
        <v>32.684426229508198</v>
      </c>
      <c r="Y81" s="30">
        <f>STDEV(L81,S81)</f>
        <v>0.14489893057100889</v>
      </c>
      <c r="Z81" s="30">
        <f>AVERAGE(P81,W81)</f>
        <v>97.199825994391773</v>
      </c>
      <c r="AA81" s="30">
        <f>STDEV(P81,W81)</f>
        <v>0.27949161933982486</v>
      </c>
      <c r="AB81" s="30">
        <f>L81/L78</f>
        <v>1</v>
      </c>
      <c r="AC81" s="30">
        <f>S81/S78</f>
        <v>0.99792099792099787</v>
      </c>
      <c r="AD81" s="30">
        <f>X81/X78</f>
        <v>0.9989561586638831</v>
      </c>
      <c r="AE81" s="30">
        <f>STDEV(AB81,AC81)</f>
        <v>1.4700764681633398E-3</v>
      </c>
      <c r="AF81" s="30">
        <f>P81/P78</f>
        <v>1.0000130543652017</v>
      </c>
      <c r="AG81" s="30">
        <f>W81/W78</f>
        <v>1</v>
      </c>
      <c r="AH81" s="30">
        <f>Z81/Z78</f>
        <v>1.0000065138686789</v>
      </c>
      <c r="AI81" s="30">
        <f>STDEV(AF81,AG81)</f>
        <v>9.2308301582180484E-6</v>
      </c>
    </row>
    <row r="82" spans="1:35" x14ac:dyDescent="0.2">
      <c r="A82" s="15" t="s">
        <v>1</v>
      </c>
      <c r="B82" s="15">
        <v>30</v>
      </c>
      <c r="C82" s="15">
        <v>7</v>
      </c>
      <c r="D82" s="15">
        <v>0</v>
      </c>
      <c r="E82" s="15">
        <v>0</v>
      </c>
      <c r="F82" s="15" t="s">
        <v>103</v>
      </c>
      <c r="G82" s="15">
        <v>60</v>
      </c>
      <c r="H82" s="15">
        <v>1</v>
      </c>
      <c r="I82" s="15">
        <v>1</v>
      </c>
      <c r="J82" s="15">
        <v>48.3</v>
      </c>
      <c r="K82" s="15">
        <f>$B$3-J82</f>
        <v>201.7</v>
      </c>
      <c r="L82" s="15">
        <f t="shared" si="31"/>
        <v>32.991803278688522</v>
      </c>
      <c r="M82" s="15">
        <v>1000</v>
      </c>
      <c r="N82" s="15">
        <v>20</v>
      </c>
      <c r="O82" s="15">
        <f>((M82*$B$3)-(N82*J82))/K82</f>
        <v>1234.6752602875558</v>
      </c>
      <c r="P82" s="15">
        <f t="shared" ref="P82:P83" si="33">(1-N82/M82)*100</f>
        <v>98</v>
      </c>
      <c r="Q82" s="15">
        <v>48.7</v>
      </c>
      <c r="R82" s="15">
        <f>$B$3-Q82</f>
        <v>201.3</v>
      </c>
      <c r="S82" s="15">
        <f t="shared" si="32"/>
        <v>33.265027322404372</v>
      </c>
      <c r="T82" s="15">
        <v>1000</v>
      </c>
      <c r="U82" s="15">
        <v>14</v>
      </c>
      <c r="V82" s="15">
        <f>((T82*$B$3)-(U82*Q82))/R82</f>
        <v>1238.5404868355688</v>
      </c>
      <c r="W82" s="15">
        <f t="shared" ref="W82:W83" si="34">(1-U82/T82)*100</f>
        <v>98.6</v>
      </c>
      <c r="X82" s="30">
        <f>AVERAGE(L82,S82)</f>
        <v>33.12841530054645</v>
      </c>
      <c r="Y82" s="30">
        <f>STDEV(L82,S82)</f>
        <v>0.19319857409468688</v>
      </c>
      <c r="Z82" s="30">
        <f>AVERAGE(P82,W82)</f>
        <v>98.3</v>
      </c>
      <c r="AA82" s="30">
        <f>STDEV(P82,W82)</f>
        <v>0.42426406871192446</v>
      </c>
    </row>
    <row r="83" spans="1:35" x14ac:dyDescent="0.2">
      <c r="A83" s="15" t="s">
        <v>1</v>
      </c>
      <c r="B83" s="15">
        <v>30</v>
      </c>
      <c r="C83" s="15">
        <v>7</v>
      </c>
      <c r="D83" s="15">
        <v>0</v>
      </c>
      <c r="E83" s="15">
        <v>0</v>
      </c>
      <c r="F83" s="15" t="s">
        <v>103</v>
      </c>
      <c r="G83" s="15">
        <v>120</v>
      </c>
      <c r="H83" s="15">
        <v>2</v>
      </c>
      <c r="I83" s="15">
        <v>1</v>
      </c>
      <c r="J83" s="15">
        <v>48.5</v>
      </c>
      <c r="K83" s="15">
        <f>K82-J83</f>
        <v>153.19999999999999</v>
      </c>
      <c r="L83" s="15">
        <f t="shared" si="31"/>
        <v>33.12841530054645</v>
      </c>
      <c r="M83" s="15">
        <v>1187.2</v>
      </c>
      <c r="N83" s="15">
        <v>14.2</v>
      </c>
      <c r="O83" s="15">
        <f>((M83*K82)-(N83*J83))/K83</f>
        <v>1558.5479112271539</v>
      </c>
      <c r="P83" s="15">
        <f t="shared" si="33"/>
        <v>98.803908355795144</v>
      </c>
      <c r="Q83" s="15">
        <v>48.1</v>
      </c>
      <c r="R83" s="15">
        <f>R82-Q83</f>
        <v>153.20000000000002</v>
      </c>
      <c r="S83" s="15">
        <f t="shared" si="32"/>
        <v>32.855191256830601</v>
      </c>
      <c r="T83" s="15">
        <v>1191.3</v>
      </c>
      <c r="U83" s="15">
        <v>11.9</v>
      </c>
      <c r="V83" s="15">
        <f>((T83*R82)-(U83*Q83))/R83</f>
        <v>1561.5946475195819</v>
      </c>
      <c r="W83" s="15">
        <f t="shared" si="34"/>
        <v>99.001091244858557</v>
      </c>
      <c r="X83" s="30">
        <f>AVERAGE(L83,S83)</f>
        <v>32.991803278688522</v>
      </c>
      <c r="Y83" s="30">
        <f>STDEV(L83,S83)</f>
        <v>0.19319857409468688</v>
      </c>
      <c r="Z83" s="30">
        <f>AVERAGE(P83,W83)</f>
        <v>98.902499800326851</v>
      </c>
      <c r="AA83" s="30">
        <f>STDEV(P83,W83)</f>
        <v>0.13942935799069395</v>
      </c>
    </row>
    <row r="84" spans="1:35" x14ac:dyDescent="0.2">
      <c r="A84" s="15" t="s">
        <v>1</v>
      </c>
      <c r="B84" s="15">
        <v>30</v>
      </c>
      <c r="C84" s="15">
        <v>7</v>
      </c>
      <c r="D84" s="15">
        <v>0</v>
      </c>
      <c r="E84" s="15">
        <v>0</v>
      </c>
      <c r="F84" s="15" t="s">
        <v>77</v>
      </c>
      <c r="G84" s="15">
        <v>0</v>
      </c>
      <c r="H84" s="15">
        <v>0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35" x14ac:dyDescent="0.2">
      <c r="A85" s="15" t="s">
        <v>1</v>
      </c>
      <c r="B85" s="15">
        <v>30</v>
      </c>
      <c r="C85" s="15">
        <v>7</v>
      </c>
      <c r="D85" s="15">
        <v>0</v>
      </c>
      <c r="E85" s="15">
        <v>0</v>
      </c>
      <c r="F85" s="15" t="s">
        <v>104</v>
      </c>
      <c r="G85" s="15">
        <v>60</v>
      </c>
      <c r="H85" s="15">
        <v>1</v>
      </c>
      <c r="I85" s="15">
        <v>1</v>
      </c>
      <c r="J85" s="15">
        <v>48.5</v>
      </c>
      <c r="K85" s="15">
        <f>$B$3-J85</f>
        <v>201.5</v>
      </c>
      <c r="L85" s="15">
        <f>J85/1000/$B$2</f>
        <v>33.12841530054645</v>
      </c>
      <c r="M85" s="15">
        <v>1000</v>
      </c>
      <c r="N85" s="15">
        <v>19</v>
      </c>
      <c r="O85" s="15">
        <f>((M85*$B$3)-(N85*J85))/K85</f>
        <v>1236.1215880893301</v>
      </c>
      <c r="P85" s="15">
        <f>(1-N85/M85)*100</f>
        <v>98.1</v>
      </c>
      <c r="Q85" s="15">
        <v>48.9</v>
      </c>
      <c r="R85" s="15">
        <f>$B$3-Q85</f>
        <v>201.1</v>
      </c>
      <c r="S85" s="15">
        <f>Q85/1000/$B$2</f>
        <v>33.401639344262293</v>
      </c>
      <c r="T85" s="15">
        <v>1000</v>
      </c>
      <c r="U85" s="15">
        <v>17</v>
      </c>
      <c r="V85" s="15">
        <f>((T85*$B$3)-(U85*Q85))/R85</f>
        <v>1239.0288413724516</v>
      </c>
      <c r="W85" s="15">
        <f>(1-U85/T85)*100</f>
        <v>98.3</v>
      </c>
      <c r="X85" s="30">
        <f>AVERAGE(L85,S85)</f>
        <v>33.265027322404372</v>
      </c>
      <c r="Y85" s="30">
        <f>STDEV(L85,S85)</f>
        <v>0.19319857409468189</v>
      </c>
      <c r="Z85" s="30">
        <f>AVERAGE(P85,W85)</f>
        <v>98.199999999999989</v>
      </c>
      <c r="AA85" s="30">
        <f>STDEV(P85,W85)</f>
        <v>0.14142135623731153</v>
      </c>
    </row>
    <row r="86" spans="1:35" x14ac:dyDescent="0.2">
      <c r="A86" s="15" t="s">
        <v>1</v>
      </c>
      <c r="B86" s="15">
        <v>30</v>
      </c>
      <c r="C86" s="15">
        <v>7</v>
      </c>
      <c r="D86" s="15">
        <v>0</v>
      </c>
      <c r="E86" s="15">
        <v>0</v>
      </c>
      <c r="F86" s="15" t="s">
        <v>104</v>
      </c>
      <c r="G86" s="15">
        <v>120</v>
      </c>
      <c r="H86" s="15">
        <v>2</v>
      </c>
      <c r="I86" s="15">
        <v>1</v>
      </c>
      <c r="J86" s="15">
        <v>48.5</v>
      </c>
      <c r="K86" s="15">
        <f>K85-J86</f>
        <v>153</v>
      </c>
      <c r="L86" s="15">
        <f t="shared" ref="L86:L88" si="35">J86/1000/$B$2</f>
        <v>33.12841530054645</v>
      </c>
      <c r="M86" s="15">
        <v>1186.3</v>
      </c>
      <c r="N86" s="15">
        <v>15.4</v>
      </c>
      <c r="O86" s="15">
        <f>((M86*K85)-(N86*J86))/K86</f>
        <v>1557.4676470588236</v>
      </c>
      <c r="P86" s="15">
        <f>(1-N86/M86)*100</f>
        <v>98.701846076034727</v>
      </c>
      <c r="Q86" s="15">
        <v>48.1</v>
      </c>
      <c r="R86" s="15">
        <f>R85-Q86</f>
        <v>153</v>
      </c>
      <c r="S86" s="15">
        <f t="shared" ref="S86:S88" si="36">Q86/1000/$B$2</f>
        <v>32.855191256830601</v>
      </c>
      <c r="T86" s="15">
        <v>1189.0999999999999</v>
      </c>
      <c r="U86" s="15">
        <v>10.7</v>
      </c>
      <c r="V86" s="15">
        <f>((T86*R85)-(U86*Q86))/R86</f>
        <v>1559.5643137254899</v>
      </c>
      <c r="W86" s="15">
        <f>(1-U86/T86)*100</f>
        <v>99.100159784711124</v>
      </c>
      <c r="X86" s="30">
        <f>AVERAGE(L86,S86)</f>
        <v>32.991803278688522</v>
      </c>
      <c r="Y86" s="30">
        <f>STDEV(L86,S86)</f>
        <v>0.19319857409468688</v>
      </c>
      <c r="Z86" s="30">
        <f>AVERAGE(P86,W86)</f>
        <v>98.901002930372925</v>
      </c>
      <c r="AA86" s="30">
        <f>STDEV(P86,W86)</f>
        <v>0.28165032444464366</v>
      </c>
      <c r="AB86" s="30">
        <f>L86/L83</f>
        <v>1</v>
      </c>
      <c r="AC86" s="30">
        <f>S86/S83</f>
        <v>1</v>
      </c>
      <c r="AD86" s="30">
        <f>X86/X83</f>
        <v>1</v>
      </c>
      <c r="AE86" s="30">
        <f>STDEV(AB86,AC86)</f>
        <v>0</v>
      </c>
      <c r="AF86" s="30">
        <f>P86/P83</f>
        <v>0.99896702183690056</v>
      </c>
      <c r="AG86" s="30">
        <f>W86/W83</f>
        <v>1.0010006812915582</v>
      </c>
      <c r="AH86" s="30">
        <f>Z86/Z83</f>
        <v>0.9999848651959562</v>
      </c>
      <c r="AI86" s="30">
        <f>STDEV(AF86,AG86)</f>
        <v>1.4380143910125325E-3</v>
      </c>
    </row>
    <row r="87" spans="1:35" x14ac:dyDescent="0.2">
      <c r="A87" s="15" t="s">
        <v>0</v>
      </c>
      <c r="B87" s="15">
        <v>30</v>
      </c>
      <c r="C87" s="15">
        <v>7</v>
      </c>
      <c r="D87" s="15">
        <v>0</v>
      </c>
      <c r="E87" s="15">
        <v>0</v>
      </c>
      <c r="F87" s="15" t="s">
        <v>103</v>
      </c>
      <c r="G87" s="15">
        <v>60</v>
      </c>
      <c r="H87" s="15">
        <v>1</v>
      </c>
      <c r="I87" s="15">
        <v>1</v>
      </c>
      <c r="J87" s="15">
        <v>49.2</v>
      </c>
      <c r="K87" s="15">
        <f>$B$3-J87</f>
        <v>200.8</v>
      </c>
      <c r="L87" s="15">
        <f t="shared" si="35"/>
        <v>33.606557377049178</v>
      </c>
      <c r="M87" s="15">
        <v>1000</v>
      </c>
      <c r="N87" s="15">
        <v>16</v>
      </c>
      <c r="O87" s="15">
        <f>((M87*$B$3)-(N87*J87))/K87</f>
        <v>1241.0996015936253</v>
      </c>
      <c r="P87" s="15">
        <f t="shared" ref="P87:P88" si="37">(1-N87/M87)*100</f>
        <v>98.4</v>
      </c>
      <c r="Q87" s="15">
        <v>48.8</v>
      </c>
      <c r="R87" s="15">
        <f>$B$3-Q87</f>
        <v>201.2</v>
      </c>
      <c r="S87" s="15">
        <f t="shared" si="36"/>
        <v>33.333333333333329</v>
      </c>
      <c r="T87" s="15">
        <v>1000</v>
      </c>
      <c r="U87" s="15">
        <v>14</v>
      </c>
      <c r="V87" s="15">
        <f>((T87*$B$3)-(U87*Q87))/R87</f>
        <v>1239.1491053677933</v>
      </c>
      <c r="W87" s="15">
        <f t="shared" ref="W87:W88" si="38">(1-U87/T87)*100</f>
        <v>98.6</v>
      </c>
      <c r="X87" s="30">
        <f>AVERAGE(L87,S87)</f>
        <v>33.469945355191257</v>
      </c>
      <c r="Y87" s="30">
        <f>STDEV(L87,S87)</f>
        <v>0.19319857409468688</v>
      </c>
      <c r="Z87" s="30">
        <f>AVERAGE(P87,W87)</f>
        <v>98.5</v>
      </c>
      <c r="AA87" s="30">
        <f>STDEV(P87,W87)</f>
        <v>0.14142135623730148</v>
      </c>
    </row>
    <row r="88" spans="1:35" x14ac:dyDescent="0.2">
      <c r="A88" s="15" t="s">
        <v>0</v>
      </c>
      <c r="B88" s="15">
        <v>30</v>
      </c>
      <c r="C88" s="15">
        <v>7</v>
      </c>
      <c r="D88" s="15">
        <v>0</v>
      </c>
      <c r="E88" s="15">
        <v>0</v>
      </c>
      <c r="F88" s="15" t="s">
        <v>103</v>
      </c>
      <c r="G88" s="15">
        <v>120</v>
      </c>
      <c r="H88" s="15">
        <v>2</v>
      </c>
      <c r="I88" s="15">
        <v>1</v>
      </c>
      <c r="J88" s="15">
        <v>48.5</v>
      </c>
      <c r="K88" s="15">
        <f>K87-J88</f>
        <v>152.30000000000001</v>
      </c>
      <c r="L88" s="15">
        <f t="shared" si="35"/>
        <v>33.12841530054645</v>
      </c>
      <c r="M88" s="15">
        <v>1188.5999999999999</v>
      </c>
      <c r="N88" s="15">
        <v>14.3</v>
      </c>
      <c r="O88" s="15">
        <f>((M88*K87)-(N88*J88))/K88</f>
        <v>1562.5563361785948</v>
      </c>
      <c r="P88" s="15">
        <f t="shared" si="37"/>
        <v>98.796903920578828</v>
      </c>
      <c r="Q88" s="15">
        <v>49</v>
      </c>
      <c r="R88" s="15">
        <f>R87-Q88</f>
        <v>152.19999999999999</v>
      </c>
      <c r="S88" s="15">
        <f t="shared" si="36"/>
        <v>33.469945355191257</v>
      </c>
      <c r="T88" s="15">
        <v>1191</v>
      </c>
      <c r="U88" s="15">
        <v>9.5</v>
      </c>
      <c r="V88" s="15">
        <f>((T88*R87)-(U88*Q88))/R88</f>
        <v>1571.3777923784494</v>
      </c>
      <c r="W88" s="15">
        <f t="shared" si="38"/>
        <v>99.20235096557515</v>
      </c>
      <c r="X88" s="30">
        <f>AVERAGE(L88,S88)</f>
        <v>33.299180327868854</v>
      </c>
      <c r="Y88" s="30">
        <f>STDEV(L88,S88)</f>
        <v>0.24149821761835485</v>
      </c>
      <c r="Z88" s="30">
        <f>AVERAGE(P88,W88)</f>
        <v>98.999627443076989</v>
      </c>
      <c r="AA88" s="30">
        <f>STDEV(P88,W88)</f>
        <v>0.28669435492894646</v>
      </c>
    </row>
    <row r="89" spans="1:35" x14ac:dyDescent="0.2">
      <c r="A89" s="15" t="s">
        <v>0</v>
      </c>
      <c r="B89" s="15">
        <v>30</v>
      </c>
      <c r="C89" s="15">
        <v>7</v>
      </c>
      <c r="D89" s="15">
        <v>0</v>
      </c>
      <c r="E89" s="15">
        <v>0</v>
      </c>
      <c r="F89" s="15" t="s">
        <v>77</v>
      </c>
      <c r="G89" s="15">
        <v>0</v>
      </c>
      <c r="H89" s="15">
        <v>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35" x14ac:dyDescent="0.2">
      <c r="A90" s="15" t="s">
        <v>0</v>
      </c>
      <c r="B90" s="15">
        <v>30</v>
      </c>
      <c r="C90" s="15">
        <v>7</v>
      </c>
      <c r="D90" s="15">
        <v>0</v>
      </c>
      <c r="E90" s="15">
        <v>0</v>
      </c>
      <c r="F90" s="15" t="s">
        <v>104</v>
      </c>
      <c r="G90" s="15">
        <v>60</v>
      </c>
      <c r="H90" s="15">
        <v>1</v>
      </c>
      <c r="I90" s="15">
        <v>1</v>
      </c>
      <c r="J90" s="15">
        <v>49.2</v>
      </c>
      <c r="K90" s="15">
        <f>($B$3-J90)</f>
        <v>200.8</v>
      </c>
      <c r="L90" s="15">
        <f>J90/1000/$B$2</f>
        <v>33.606557377049178</v>
      </c>
      <c r="M90" s="15">
        <v>1000</v>
      </c>
      <c r="N90" s="15">
        <v>20</v>
      </c>
      <c r="O90" s="15">
        <f>((M90*$B$3)-(N90*J90))/K90</f>
        <v>1240.1195219123506</v>
      </c>
      <c r="P90" s="15">
        <f>(1-N90/M90)*100</f>
        <v>98</v>
      </c>
      <c r="Q90" s="15">
        <v>48.7</v>
      </c>
      <c r="R90" s="15">
        <f>($B$3-Q90)</f>
        <v>201.3</v>
      </c>
      <c r="S90" s="15">
        <f>Q90/1000/$B$2</f>
        <v>33.265027322404372</v>
      </c>
      <c r="T90" s="15">
        <v>1000</v>
      </c>
      <c r="U90" s="15">
        <v>12</v>
      </c>
      <c r="V90" s="15">
        <f>((T90*$B$3)-(U90*Q90))/R90</f>
        <v>1239.0243417784402</v>
      </c>
      <c r="W90" s="15">
        <f>(1-U90/T90)*100</f>
        <v>98.8</v>
      </c>
      <c r="X90" s="30">
        <f>AVERAGE(L90,S90)</f>
        <v>33.435792349726775</v>
      </c>
      <c r="Y90" s="30">
        <f>STDEV(L90,S90)</f>
        <v>0.24149821761835485</v>
      </c>
      <c r="Z90" s="30">
        <f>AVERAGE(P90,W90)</f>
        <v>98.4</v>
      </c>
      <c r="AA90" s="30">
        <f>STDEV(P90,W90)</f>
        <v>0.56568542494923602</v>
      </c>
    </row>
    <row r="91" spans="1:35" x14ac:dyDescent="0.2">
      <c r="A91" s="15" t="s">
        <v>0</v>
      </c>
      <c r="B91" s="15">
        <v>30</v>
      </c>
      <c r="C91" s="15">
        <v>7</v>
      </c>
      <c r="D91" s="15">
        <v>0</v>
      </c>
      <c r="E91" s="15">
        <v>0</v>
      </c>
      <c r="F91" s="15" t="s">
        <v>104</v>
      </c>
      <c r="G91" s="15">
        <v>120</v>
      </c>
      <c r="H91" s="15">
        <v>2</v>
      </c>
      <c r="I91" s="15">
        <v>1</v>
      </c>
      <c r="J91" s="15">
        <v>48.5</v>
      </c>
      <c r="K91" s="15">
        <f>K90-J91</f>
        <v>152.30000000000001</v>
      </c>
      <c r="L91" s="15">
        <f>J91/1000/$B$2</f>
        <v>33.12841530054645</v>
      </c>
      <c r="M91" s="15">
        <v>1188</v>
      </c>
      <c r="N91" s="15">
        <v>14.3</v>
      </c>
      <c r="O91" s="15">
        <f>((M91*K90)-(N91*J91))/K91</f>
        <v>1561.7652659225214</v>
      </c>
      <c r="P91" s="15">
        <f>(1-N91/M91)*100</f>
        <v>98.796296296296291</v>
      </c>
      <c r="Q91" s="15">
        <v>49</v>
      </c>
      <c r="R91" s="15">
        <f>R90-Q91</f>
        <v>152.30000000000001</v>
      </c>
      <c r="S91" s="15">
        <f>Q91/1000/$B$2</f>
        <v>33.469945355191257</v>
      </c>
      <c r="T91" s="15">
        <v>1192.5</v>
      </c>
      <c r="U91" s="15">
        <v>9.5</v>
      </c>
      <c r="V91" s="15">
        <f>((T91*R90)-(U91*Q91))/R91</f>
        <v>1573.1106369008535</v>
      </c>
      <c r="W91" s="15">
        <f>(1-U91/T91)*100</f>
        <v>99.20335429769392</v>
      </c>
      <c r="X91" s="30">
        <f>AVERAGE(L91,S91)</f>
        <v>33.299180327868854</v>
      </c>
      <c r="Y91" s="30">
        <f>STDEV(L91,S91)</f>
        <v>0.24149821761835485</v>
      </c>
      <c r="Z91" s="30">
        <f>AVERAGE(P91,W91)</f>
        <v>98.999825296995112</v>
      </c>
      <c r="AA91" s="30">
        <f>STDEV(P91,W91)</f>
        <v>0.28783347312450708</v>
      </c>
      <c r="AB91" s="30">
        <f>L91/L88</f>
        <v>1</v>
      </c>
      <c r="AC91" s="30">
        <f>S91/S88</f>
        <v>1</v>
      </c>
      <c r="AD91" s="30">
        <f>X91/X88</f>
        <v>1</v>
      </c>
      <c r="AE91" s="30">
        <f>STDEV(AB91,AC91)</f>
        <v>0</v>
      </c>
      <c r="AF91" s="30">
        <f>P91/P88</f>
        <v>0.99999384976392558</v>
      </c>
      <c r="AG91" s="30">
        <f>W91/W88</f>
        <v>1.0000101139953741</v>
      </c>
      <c r="AH91" s="30">
        <f>Z91/Z88</f>
        <v>1.0000019985319464</v>
      </c>
      <c r="AI91" s="30">
        <f>STDEV(AF91,AG91)</f>
        <v>1.1500548348032515E-5</v>
      </c>
    </row>
    <row r="92" spans="1:35" x14ac:dyDescent="0.2">
      <c r="A92" s="38" t="s">
        <v>78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35" x14ac:dyDescent="0.2">
      <c r="A93" s="15" t="s">
        <v>5</v>
      </c>
      <c r="B93" s="15">
        <v>12</v>
      </c>
      <c r="C93" s="15">
        <v>7</v>
      </c>
      <c r="D93" s="15">
        <v>1000</v>
      </c>
      <c r="E93" s="15">
        <v>4</v>
      </c>
      <c r="F93" s="15" t="s">
        <v>103</v>
      </c>
      <c r="G93" s="15">
        <v>60</v>
      </c>
      <c r="H93" s="15">
        <v>1</v>
      </c>
      <c r="I93" s="15">
        <v>1</v>
      </c>
      <c r="J93" s="15">
        <v>48</v>
      </c>
      <c r="K93" s="15">
        <f>($B$3-J93)</f>
        <v>202</v>
      </c>
      <c r="L93" s="15">
        <f>J93/1000/$B$2</f>
        <v>32.786885245901637</v>
      </c>
      <c r="M93" s="15">
        <v>1000</v>
      </c>
      <c r="N93" s="15">
        <v>24</v>
      </c>
      <c r="O93" s="15">
        <f>((M93*$B$3)-(N93*J93))/K93</f>
        <v>1231.920792079208</v>
      </c>
      <c r="P93" s="15">
        <f>(1-N93/M93)*100</f>
        <v>97.6</v>
      </c>
      <c r="Q93" s="15">
        <v>48.4</v>
      </c>
      <c r="R93" s="15">
        <f>($B$3-Q93)</f>
        <v>201.6</v>
      </c>
      <c r="S93" s="15">
        <f>Q93/1000/$B$2</f>
        <v>33.060109289617486</v>
      </c>
      <c r="T93" s="15">
        <v>1000</v>
      </c>
      <c r="U93" s="15">
        <v>26</v>
      </c>
      <c r="V93" s="15">
        <f>((T93*$B$3)-(U93*Q93))/R93</f>
        <v>1233.8373015873017</v>
      </c>
      <c r="W93" s="15">
        <f>(1-U93/T93)*100</f>
        <v>97.399999999999991</v>
      </c>
      <c r="X93" s="30">
        <f>AVERAGE(L93,S93)</f>
        <v>32.923497267759558</v>
      </c>
      <c r="Y93" s="30">
        <f>STDEV(L93,S93)</f>
        <v>0.19319857409468688</v>
      </c>
      <c r="Z93" s="30">
        <f>AVERAGE(P93,W93)</f>
        <v>97.5</v>
      </c>
      <c r="AA93" s="30">
        <f>STDEV(P93,W93)</f>
        <v>0.14142135623731153</v>
      </c>
    </row>
    <row r="94" spans="1:35" x14ac:dyDescent="0.2">
      <c r="A94" s="15" t="s">
        <v>5</v>
      </c>
      <c r="B94" s="15">
        <v>12</v>
      </c>
      <c r="C94" s="15">
        <v>7</v>
      </c>
      <c r="D94" s="15">
        <v>1000</v>
      </c>
      <c r="E94" s="15">
        <v>4</v>
      </c>
      <c r="F94" s="15" t="s">
        <v>103</v>
      </c>
      <c r="G94" s="15">
        <v>120</v>
      </c>
      <c r="H94" s="15">
        <v>2</v>
      </c>
      <c r="I94" s="15">
        <v>1</v>
      </c>
      <c r="J94" s="15">
        <v>48</v>
      </c>
      <c r="K94" s="15">
        <f>K93-J94</f>
        <v>154</v>
      </c>
      <c r="L94" s="15">
        <f>J94/1000/$B$2</f>
        <v>32.786885245901637</v>
      </c>
      <c r="M94" s="15">
        <v>1184.8</v>
      </c>
      <c r="N94" s="15">
        <v>37.9</v>
      </c>
      <c r="O94" s="15">
        <f>((M94*K93)-(N94*J94))/K94</f>
        <v>1542.2753246753246</v>
      </c>
      <c r="P94" s="15">
        <f>(1-N94/M94)*100</f>
        <v>96.801147873058753</v>
      </c>
      <c r="Q94" s="15">
        <v>47.8</v>
      </c>
      <c r="R94" s="15">
        <f>R93-Q94</f>
        <v>153.80000000000001</v>
      </c>
      <c r="S94" s="15">
        <f>Q94/1000/$B$2</f>
        <v>32.650273224043715</v>
      </c>
      <c r="T94" s="15">
        <v>1187.3</v>
      </c>
      <c r="U94" s="15">
        <v>35.6</v>
      </c>
      <c r="V94" s="15">
        <f>((T94*R93)-(U94*Q94))/R94</f>
        <v>1545.2405721716514</v>
      </c>
      <c r="W94" s="15">
        <f>(1-U94/T94)*100</f>
        <v>97.001600269519074</v>
      </c>
      <c r="X94" s="30">
        <f>AVERAGE(L94,S94)</f>
        <v>32.71857923497268</v>
      </c>
      <c r="Y94" s="30">
        <f>STDEV(L94,S94)</f>
        <v>9.6599287047340929E-2</v>
      </c>
      <c r="Z94" s="30">
        <f>AVERAGE(P94,W94)</f>
        <v>96.901374071288913</v>
      </c>
      <c r="AA94" s="30">
        <f>STDEV(P94,W94)</f>
        <v>0.14174124884218717</v>
      </c>
    </row>
    <row r="95" spans="1:35" x14ac:dyDescent="0.2">
      <c r="A95" s="15" t="s">
        <v>5</v>
      </c>
      <c r="B95" s="15">
        <v>12</v>
      </c>
      <c r="C95" s="15">
        <v>7</v>
      </c>
      <c r="D95" s="15">
        <v>1000</v>
      </c>
      <c r="E95" s="15">
        <v>4</v>
      </c>
      <c r="F95" s="15" t="s">
        <v>82</v>
      </c>
      <c r="G95" s="15">
        <v>240</v>
      </c>
      <c r="H95" s="15">
        <v>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35" x14ac:dyDescent="0.2">
      <c r="A96" s="15" t="s">
        <v>5</v>
      </c>
      <c r="B96" s="15">
        <v>12</v>
      </c>
      <c r="C96" s="15">
        <v>7</v>
      </c>
      <c r="D96" s="15">
        <v>1000</v>
      </c>
      <c r="E96" s="15">
        <v>4</v>
      </c>
      <c r="F96" s="15" t="s">
        <v>104</v>
      </c>
      <c r="G96" s="15">
        <v>60</v>
      </c>
      <c r="H96" s="15">
        <v>1</v>
      </c>
      <c r="I96" s="15">
        <v>1</v>
      </c>
      <c r="J96" s="15">
        <v>53.1</v>
      </c>
      <c r="K96" s="15">
        <f>$B$3-J96</f>
        <v>196.9</v>
      </c>
      <c r="L96" s="15">
        <f>J96/1000/$B$2</f>
        <v>36.270491803278688</v>
      </c>
      <c r="M96" s="15">
        <v>1000</v>
      </c>
      <c r="N96" s="15">
        <v>65.8</v>
      </c>
      <c r="O96" s="15">
        <f>((M96*$B$3)-(N96*J96))/K96</f>
        <v>1251.9350939563228</v>
      </c>
      <c r="P96" s="15">
        <f>(1-N96/M96)*100</f>
        <v>93.42</v>
      </c>
      <c r="Q96" s="15">
        <v>53.4</v>
      </c>
      <c r="R96" s="15">
        <f>$B$3-Q96</f>
        <v>196.6</v>
      </c>
      <c r="S96" s="15">
        <f>Q96/1000/$B$2</f>
        <v>36.475409836065573</v>
      </c>
      <c r="T96" s="15">
        <v>1000</v>
      </c>
      <c r="U96" s="15">
        <v>59.8</v>
      </c>
      <c r="V96" s="15">
        <f>((T96*$B$3)-(U96*Q96))/R96</f>
        <v>1255.3747711088504</v>
      </c>
      <c r="W96" s="15">
        <f>(1-U96/T96)*100</f>
        <v>94.02000000000001</v>
      </c>
      <c r="X96" s="30">
        <f>AVERAGE(L96,S96)</f>
        <v>36.372950819672127</v>
      </c>
      <c r="Y96" s="30">
        <f>STDEV(L96,S96)</f>
        <v>0.14489893057101391</v>
      </c>
      <c r="Z96" s="30">
        <f>AVERAGE(P96,W96)</f>
        <v>93.72</v>
      </c>
      <c r="AA96" s="30">
        <f>STDEV(P96,W96)</f>
        <v>0.42426406871193451</v>
      </c>
    </row>
    <row r="97" spans="1:35" x14ac:dyDescent="0.2">
      <c r="A97" s="15" t="s">
        <v>5</v>
      </c>
      <c r="B97" s="15">
        <v>12</v>
      </c>
      <c r="C97" s="15">
        <v>7</v>
      </c>
      <c r="D97" s="15">
        <v>1000</v>
      </c>
      <c r="E97" s="15">
        <v>4</v>
      </c>
      <c r="F97" s="15" t="s">
        <v>104</v>
      </c>
      <c r="G97" s="15">
        <v>120</v>
      </c>
      <c r="H97" s="15">
        <v>2</v>
      </c>
      <c r="I97" s="15">
        <v>1</v>
      </c>
      <c r="J97" s="15">
        <v>53</v>
      </c>
      <c r="K97" s="15">
        <f>K96-J97</f>
        <v>143.9</v>
      </c>
      <c r="L97" s="15">
        <f t="shared" ref="L97:L99" si="39">J97/1000/$B$2</f>
        <v>36.202185792349724</v>
      </c>
      <c r="M97" s="15">
        <v>1197.3</v>
      </c>
      <c r="N97" s="15">
        <v>85.9</v>
      </c>
      <c r="O97" s="15">
        <f>((M97*K96)-(N97*J97))/K97</f>
        <v>1606.6412091730367</v>
      </c>
      <c r="P97" s="15">
        <f>(1-N97/M97)*100</f>
        <v>92.8255240958824</v>
      </c>
      <c r="Q97" s="15">
        <v>52.6</v>
      </c>
      <c r="R97" s="15">
        <f>R96-Q97</f>
        <v>144</v>
      </c>
      <c r="S97" s="15">
        <f t="shared" ref="S97:S99" si="40">Q97/1000/$B$2</f>
        <v>35.928961748633881</v>
      </c>
      <c r="T97" s="15">
        <v>1201</v>
      </c>
      <c r="U97" s="15">
        <v>81.400000000000006</v>
      </c>
      <c r="V97" s="15">
        <f>((T97*R96)-(U97*Q97))/R97</f>
        <v>1609.9649999999999</v>
      </c>
      <c r="W97" s="15">
        <f>(1-U97/T97)*100</f>
        <v>93.222314737718577</v>
      </c>
      <c r="X97" s="30">
        <f>AVERAGE(L97,S97)</f>
        <v>36.065573770491802</v>
      </c>
      <c r="Y97" s="30">
        <f>STDEV(L97,S97)</f>
        <v>0.19319857409468189</v>
      </c>
      <c r="Z97" s="30">
        <f>AVERAGE(P97,W97)</f>
        <v>93.023919416800481</v>
      </c>
      <c r="AA97" s="30">
        <f>STDEV(P97,W97)</f>
        <v>0.28057335355372293</v>
      </c>
      <c r="AB97" s="30">
        <f>L97/L94</f>
        <v>1.1041666666666667</v>
      </c>
      <c r="AC97" s="30">
        <f>S97/S94</f>
        <v>1.100418410041841</v>
      </c>
      <c r="AD97" s="30">
        <f>X97/X94</f>
        <v>1.1022964509394571</v>
      </c>
      <c r="AE97" s="30">
        <f>STDEV(AB97,AC97)</f>
        <v>2.650417677041651E-3</v>
      </c>
      <c r="AF97" s="30">
        <f>P97/P94</f>
        <v>0.9589299934501827</v>
      </c>
      <c r="AG97" s="30">
        <f>W97/W94</f>
        <v>0.96103893625156955</v>
      </c>
      <c r="AH97" s="30">
        <f>Z97/Z94</f>
        <v>0.95998555550269238</v>
      </c>
      <c r="AI97" s="30">
        <f>STDEV(AF97,AG97)</f>
        <v>1.4912477559951948E-3</v>
      </c>
    </row>
    <row r="98" spans="1:35" x14ac:dyDescent="0.2">
      <c r="A98" s="15" t="s">
        <v>1</v>
      </c>
      <c r="B98" s="15">
        <v>30</v>
      </c>
      <c r="C98" s="15">
        <v>7</v>
      </c>
      <c r="D98" s="15">
        <v>1000</v>
      </c>
      <c r="E98" s="15">
        <v>4</v>
      </c>
      <c r="F98" s="15" t="s">
        <v>103</v>
      </c>
      <c r="G98" s="15">
        <v>60</v>
      </c>
      <c r="H98" s="15">
        <v>1</v>
      </c>
      <c r="I98" s="15">
        <v>1</v>
      </c>
      <c r="J98" s="15">
        <v>48.9</v>
      </c>
      <c r="K98" s="15">
        <f>$B$3-J98</f>
        <v>201.1</v>
      </c>
      <c r="L98" s="15">
        <f t="shared" si="39"/>
        <v>33.401639344262293</v>
      </c>
      <c r="M98" s="15">
        <v>1000</v>
      </c>
      <c r="N98" s="15">
        <v>14</v>
      </c>
      <c r="O98" s="15">
        <f>((M98*$B$3)-(N98*J98))/K98</f>
        <v>1239.758329189458</v>
      </c>
      <c r="P98" s="15">
        <f t="shared" ref="P98:P99" si="41">(1-N98/M98)*100</f>
        <v>98.6</v>
      </c>
      <c r="Q98" s="15">
        <v>48.5</v>
      </c>
      <c r="R98" s="15">
        <f>$B$3-Q98</f>
        <v>201.5</v>
      </c>
      <c r="S98" s="15">
        <f t="shared" si="40"/>
        <v>33.12841530054645</v>
      </c>
      <c r="T98" s="15">
        <v>1000</v>
      </c>
      <c r="U98" s="15">
        <v>12</v>
      </c>
      <c r="V98" s="15">
        <f>((T98*$B$3)-(U98*Q98))/R98</f>
        <v>1237.8064516129032</v>
      </c>
      <c r="W98" s="15">
        <f t="shared" ref="W98:W99" si="42">(1-U98/T98)*100</f>
        <v>98.8</v>
      </c>
      <c r="X98" s="30">
        <f>AVERAGE(L98,S98)</f>
        <v>33.265027322404372</v>
      </c>
      <c r="Y98" s="30">
        <f>STDEV(L98,S98)</f>
        <v>0.19319857409468189</v>
      </c>
      <c r="Z98" s="30">
        <f>AVERAGE(P98,W98)</f>
        <v>98.699999999999989</v>
      </c>
      <c r="AA98" s="30">
        <f>STDEV(P98,W98)</f>
        <v>0.14142135623731153</v>
      </c>
    </row>
    <row r="99" spans="1:35" x14ac:dyDescent="0.2">
      <c r="A99" s="15" t="s">
        <v>1</v>
      </c>
      <c r="B99" s="15">
        <v>30</v>
      </c>
      <c r="C99" s="15">
        <v>7</v>
      </c>
      <c r="D99" s="15">
        <v>1000</v>
      </c>
      <c r="E99" s="15">
        <v>4</v>
      </c>
      <c r="F99" s="15" t="s">
        <v>103</v>
      </c>
      <c r="G99" s="15">
        <v>120</v>
      </c>
      <c r="H99" s="15">
        <v>2</v>
      </c>
      <c r="I99" s="15">
        <v>1</v>
      </c>
      <c r="J99" s="15">
        <v>48.2</v>
      </c>
      <c r="K99" s="15">
        <f>K98-J99</f>
        <v>152.89999999999998</v>
      </c>
      <c r="L99" s="15">
        <f t="shared" si="39"/>
        <v>32.923497267759565</v>
      </c>
      <c r="M99" s="15">
        <v>1188.2</v>
      </c>
      <c r="N99" s="15">
        <v>11.9</v>
      </c>
      <c r="O99" s="15">
        <f>((M99*K98)-(N99*J99))/K99</f>
        <v>1559.0153041203403</v>
      </c>
      <c r="P99" s="15">
        <f t="shared" si="41"/>
        <v>98.998485103517936</v>
      </c>
      <c r="Q99" s="15">
        <v>48.7</v>
      </c>
      <c r="R99" s="15">
        <f>R98-Q99</f>
        <v>152.80000000000001</v>
      </c>
      <c r="S99" s="15">
        <f t="shared" si="40"/>
        <v>33.265027322404372</v>
      </c>
      <c r="T99" s="15">
        <v>1190.5</v>
      </c>
      <c r="U99" s="15">
        <v>7.1</v>
      </c>
      <c r="V99" s="15">
        <f>((T99*R98)-(U99*Q99))/R99</f>
        <v>1567.6700261780104</v>
      </c>
      <c r="W99" s="15">
        <f t="shared" si="42"/>
        <v>99.403611927761446</v>
      </c>
      <c r="X99" s="30">
        <f>AVERAGE(L99,S99)</f>
        <v>33.094262295081968</v>
      </c>
      <c r="Y99" s="30">
        <f>STDEV(L99,S99)</f>
        <v>0.24149821761835485</v>
      </c>
      <c r="Z99" s="30">
        <f>AVERAGE(P99,W99)</f>
        <v>99.201048515639684</v>
      </c>
      <c r="AA99" s="30">
        <f>STDEV(P99,W99)</f>
        <v>0.28646792466315651</v>
      </c>
    </row>
    <row r="100" spans="1:35" x14ac:dyDescent="0.2">
      <c r="A100" s="15" t="s">
        <v>1</v>
      </c>
      <c r="B100" s="15">
        <v>30</v>
      </c>
      <c r="C100" s="15">
        <v>7</v>
      </c>
      <c r="D100" s="15">
        <v>1000</v>
      </c>
      <c r="E100" s="15">
        <v>4</v>
      </c>
      <c r="F100" s="15" t="s">
        <v>82</v>
      </c>
      <c r="G100" s="15">
        <v>240</v>
      </c>
      <c r="H100" s="15">
        <v>4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35" x14ac:dyDescent="0.2">
      <c r="A101" s="15" t="s">
        <v>1</v>
      </c>
      <c r="B101" s="15">
        <v>30</v>
      </c>
      <c r="C101" s="15">
        <v>7</v>
      </c>
      <c r="D101" s="15">
        <v>1000</v>
      </c>
      <c r="E101" s="15">
        <v>4</v>
      </c>
      <c r="F101" s="15" t="s">
        <v>104</v>
      </c>
      <c r="G101" s="15">
        <v>60</v>
      </c>
      <c r="H101" s="15">
        <v>1</v>
      </c>
      <c r="I101" s="15">
        <v>1</v>
      </c>
      <c r="J101" s="15">
        <v>53.7</v>
      </c>
      <c r="K101" s="15">
        <f>$B$3-J101</f>
        <v>196.3</v>
      </c>
      <c r="L101" s="15">
        <f>J101/1000/$B$2</f>
        <v>36.680327868852459</v>
      </c>
      <c r="M101" s="15">
        <v>1000</v>
      </c>
      <c r="N101" s="15">
        <v>61.5</v>
      </c>
      <c r="O101" s="15">
        <f>((M101*$B$3)-(N101*J101))/K101</f>
        <v>1256.7368823229751</v>
      </c>
      <c r="P101" s="15">
        <f>(1-N101/M101)*100</f>
        <v>93.85</v>
      </c>
      <c r="Q101" s="15">
        <v>53.3</v>
      </c>
      <c r="R101" s="15">
        <f>$B$3-Q101</f>
        <v>196.7</v>
      </c>
      <c r="S101" s="15">
        <f>Q101/1000/$B$2</f>
        <v>36.407103825136609</v>
      </c>
      <c r="T101" s="15">
        <v>1000</v>
      </c>
      <c r="U101" s="15">
        <v>61.5</v>
      </c>
      <c r="V101" s="15">
        <f>((T101*$B$3)-(U101*Q101))/R101</f>
        <v>1254.3063040162685</v>
      </c>
      <c r="W101" s="15">
        <f>(1-U101/T101)*100</f>
        <v>93.85</v>
      </c>
      <c r="X101" s="30">
        <f>AVERAGE(L101,S101)</f>
        <v>36.54371584699453</v>
      </c>
      <c r="Y101" s="30">
        <f>STDEV(L101,S101)</f>
        <v>0.19319857409468688</v>
      </c>
      <c r="Z101" s="30">
        <f>AVERAGE(P101,W101)</f>
        <v>93.85</v>
      </c>
      <c r="AA101" s="30">
        <f>STDEV(P101,W101)</f>
        <v>0</v>
      </c>
    </row>
    <row r="102" spans="1:35" x14ac:dyDescent="0.2">
      <c r="A102" s="15" t="s">
        <v>1</v>
      </c>
      <c r="B102" s="15">
        <v>30</v>
      </c>
      <c r="C102" s="15">
        <v>7</v>
      </c>
      <c r="D102" s="15">
        <v>1000</v>
      </c>
      <c r="E102" s="15">
        <v>4</v>
      </c>
      <c r="F102" s="15" t="s">
        <v>104</v>
      </c>
      <c r="G102" s="15">
        <v>120</v>
      </c>
      <c r="H102" s="15">
        <v>2</v>
      </c>
      <c r="I102" s="15">
        <v>1</v>
      </c>
      <c r="J102" s="15">
        <v>53</v>
      </c>
      <c r="K102" s="15">
        <f>K101-J102</f>
        <v>143.30000000000001</v>
      </c>
      <c r="L102" s="15">
        <f t="shared" ref="L102:L104" si="43">J102/1000/$B$2</f>
        <v>36.202185792349724</v>
      </c>
      <c r="M102" s="15">
        <v>1201.2</v>
      </c>
      <c r="N102" s="15">
        <v>83.5</v>
      </c>
      <c r="O102" s="15">
        <f>((M102*K101)-(N102*J102))/K102</f>
        <v>1614.5852058618284</v>
      </c>
      <c r="P102" s="15">
        <f>(1-N102/M102)*100</f>
        <v>93.048618048618053</v>
      </c>
      <c r="Q102" s="15">
        <v>53.6</v>
      </c>
      <c r="R102" s="15">
        <f>R101-Q102</f>
        <v>143.1</v>
      </c>
      <c r="S102" s="15">
        <f t="shared" ref="S102:S104" si="44">Q102/1000/$B$2</f>
        <v>36.612021857923494</v>
      </c>
      <c r="T102" s="15">
        <v>1204.0999999999999</v>
      </c>
      <c r="U102" s="15">
        <v>78.900000000000006</v>
      </c>
      <c r="V102" s="15">
        <f>((T102*R101)-(U102*Q102))/R102</f>
        <v>1625.5585604472394</v>
      </c>
      <c r="W102" s="15">
        <f>(1-U102/T102)*100</f>
        <v>93.44738809069014</v>
      </c>
      <c r="X102" s="30">
        <f>AVERAGE(L102,S102)</f>
        <v>36.407103825136609</v>
      </c>
      <c r="Y102" s="30">
        <f>STDEV(L102,S102)</f>
        <v>0.28979786114202782</v>
      </c>
      <c r="Z102" s="30">
        <f>AVERAGE(P102,W102)</f>
        <v>93.248003069654089</v>
      </c>
      <c r="AA102" s="30">
        <f>STDEV(P102,W102)</f>
        <v>0.28197300088321758</v>
      </c>
      <c r="AB102" s="30">
        <f>L102/L99</f>
        <v>1.0995850622406638</v>
      </c>
      <c r="AC102" s="30">
        <f>S102/S99</f>
        <v>1.1006160164271046</v>
      </c>
      <c r="AD102" s="30">
        <f>X102/X99</f>
        <v>1.1001031991744066</v>
      </c>
      <c r="AE102" s="30">
        <f>STDEV(AB102,AC102)</f>
        <v>7.2899469632497506E-4</v>
      </c>
      <c r="AF102" s="30">
        <f>P102/P99</f>
        <v>0.93989941312053016</v>
      </c>
      <c r="AG102" s="30">
        <f>W102/W99</f>
        <v>0.94008040833164286</v>
      </c>
      <c r="AH102" s="30">
        <f>Z102/Z99</f>
        <v>0.93999009551751811</v>
      </c>
      <c r="AI102" s="30">
        <f>STDEV(AF102,AG102)</f>
        <v>1.2798294114008094E-4</v>
      </c>
    </row>
    <row r="103" spans="1:35" x14ac:dyDescent="0.2">
      <c r="A103" s="15" t="s">
        <v>0</v>
      </c>
      <c r="B103" s="15">
        <v>30</v>
      </c>
      <c r="C103" s="15">
        <v>7</v>
      </c>
      <c r="D103" s="15">
        <v>1000</v>
      </c>
      <c r="E103" s="15">
        <v>4</v>
      </c>
      <c r="F103" s="15" t="s">
        <v>103</v>
      </c>
      <c r="G103" s="15">
        <v>60</v>
      </c>
      <c r="H103" s="15">
        <v>1</v>
      </c>
      <c r="I103" s="15">
        <v>1</v>
      </c>
      <c r="J103" s="15">
        <v>48</v>
      </c>
      <c r="K103" s="15">
        <f>$B$3-J103</f>
        <v>202</v>
      </c>
      <c r="L103" s="15">
        <f t="shared" si="43"/>
        <v>32.786885245901637</v>
      </c>
      <c r="M103" s="15">
        <v>1000</v>
      </c>
      <c r="N103" s="15">
        <v>15</v>
      </c>
      <c r="O103" s="15">
        <f>((M103*$B$3)-(N103*J103))/K103</f>
        <v>1234.0594059405942</v>
      </c>
      <c r="P103" s="15">
        <f t="shared" ref="P103:P104" si="45">(1-N103/M103)*100</f>
        <v>98.5</v>
      </c>
      <c r="Q103" s="15">
        <v>48.7</v>
      </c>
      <c r="R103" s="15">
        <f>$B$3-Q103</f>
        <v>201.3</v>
      </c>
      <c r="S103" s="15">
        <f t="shared" si="44"/>
        <v>33.265027322404372</v>
      </c>
      <c r="T103" s="15">
        <v>1000</v>
      </c>
      <c r="U103" s="15">
        <v>15</v>
      </c>
      <c r="V103" s="15">
        <f>((T103*$B$3)-(U103*Q103))/R103</f>
        <v>1238.2985593641331</v>
      </c>
      <c r="W103" s="15">
        <f t="shared" ref="W103:W104" si="46">(1-U103/T103)*100</f>
        <v>98.5</v>
      </c>
      <c r="X103" s="30">
        <f>AVERAGE(L103,S103)</f>
        <v>33.025956284153004</v>
      </c>
      <c r="Y103" s="30">
        <f>STDEV(L103,S103)</f>
        <v>0.33809750466570082</v>
      </c>
      <c r="Z103" s="30">
        <f>AVERAGE(P103,W103)</f>
        <v>98.5</v>
      </c>
      <c r="AA103" s="30">
        <f>STDEV(P103,W103)</f>
        <v>0</v>
      </c>
    </row>
    <row r="104" spans="1:35" x14ac:dyDescent="0.2">
      <c r="A104" s="15" t="s">
        <v>0</v>
      </c>
      <c r="B104" s="15">
        <v>30</v>
      </c>
      <c r="C104" s="15">
        <v>7</v>
      </c>
      <c r="D104" s="15">
        <v>1000</v>
      </c>
      <c r="E104" s="15">
        <v>4</v>
      </c>
      <c r="F104" s="15" t="s">
        <v>103</v>
      </c>
      <c r="G104" s="15">
        <v>120</v>
      </c>
      <c r="H104" s="15">
        <v>2</v>
      </c>
      <c r="I104" s="15">
        <v>1</v>
      </c>
      <c r="J104" s="15">
        <v>48.3</v>
      </c>
      <c r="K104" s="15">
        <f>K103-J104</f>
        <v>153.69999999999999</v>
      </c>
      <c r="L104" s="15">
        <f t="shared" si="43"/>
        <v>32.991803278688522</v>
      </c>
      <c r="M104" s="15">
        <v>1186.5999999999999</v>
      </c>
      <c r="N104" s="15">
        <v>10.7</v>
      </c>
      <c r="O104" s="15">
        <f>((M104*K103)-(N104*J104))/K104</f>
        <v>1556.1248536109304</v>
      </c>
      <c r="P104" s="15">
        <f t="shared" si="45"/>
        <v>99.098263947412775</v>
      </c>
      <c r="Q104" s="15">
        <v>48</v>
      </c>
      <c r="R104" s="15">
        <f>R103-Q104</f>
        <v>153.30000000000001</v>
      </c>
      <c r="S104" s="15">
        <f t="shared" si="44"/>
        <v>32.786885245901637</v>
      </c>
      <c r="T104" s="15">
        <v>1189</v>
      </c>
      <c r="U104" s="15">
        <v>8.3000000000000007</v>
      </c>
      <c r="V104" s="15">
        <f>((T104*R103)-(U104*Q104))/R104</f>
        <v>1558.6908023483365</v>
      </c>
      <c r="W104" s="15">
        <f t="shared" si="46"/>
        <v>99.301934398654339</v>
      </c>
      <c r="X104" s="30">
        <f>AVERAGE(L104,S104)</f>
        <v>32.889344262295083</v>
      </c>
      <c r="Y104" s="30">
        <f>STDEV(L104,S104)</f>
        <v>0.14489893057101391</v>
      </c>
      <c r="Z104" s="30">
        <f>AVERAGE(P104,W104)</f>
        <v>99.20009917303355</v>
      </c>
      <c r="AA104" s="30">
        <f>STDEV(P104,W104)</f>
        <v>0.14401675720023394</v>
      </c>
    </row>
    <row r="105" spans="1:35" x14ac:dyDescent="0.2">
      <c r="A105" s="15" t="s">
        <v>0</v>
      </c>
      <c r="B105" s="15">
        <v>30</v>
      </c>
      <c r="C105" s="15">
        <v>7</v>
      </c>
      <c r="D105" s="15">
        <v>1000</v>
      </c>
      <c r="E105" s="15">
        <v>4</v>
      </c>
      <c r="F105" s="15" t="s">
        <v>82</v>
      </c>
      <c r="G105" s="15">
        <v>240</v>
      </c>
      <c r="H105" s="15">
        <v>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35" x14ac:dyDescent="0.2">
      <c r="A106" s="15" t="s">
        <v>0</v>
      </c>
      <c r="B106" s="15">
        <v>30</v>
      </c>
      <c r="C106" s="15">
        <v>7</v>
      </c>
      <c r="D106" s="15">
        <v>1000</v>
      </c>
      <c r="E106" s="15">
        <v>4</v>
      </c>
      <c r="F106" s="15" t="s">
        <v>104</v>
      </c>
      <c r="G106" s="15">
        <v>60</v>
      </c>
      <c r="H106" s="15">
        <v>1</v>
      </c>
      <c r="I106" s="15">
        <v>1</v>
      </c>
      <c r="J106" s="15">
        <v>48.1</v>
      </c>
      <c r="K106" s="15">
        <f>($B$3-J106)</f>
        <v>201.9</v>
      </c>
      <c r="L106" s="15">
        <f>J106/1000/$B$2</f>
        <v>32.855191256830601</v>
      </c>
      <c r="M106" s="15">
        <v>1000</v>
      </c>
      <c r="N106" s="15">
        <v>55.6</v>
      </c>
      <c r="O106" s="15">
        <f>((M106*$B$3)-(N106*J106))/K106</f>
        <v>1224.9907875185736</v>
      </c>
      <c r="P106" s="15">
        <f>(1-N106/M106)*100</f>
        <v>94.44</v>
      </c>
      <c r="Q106" s="15">
        <v>48.7</v>
      </c>
      <c r="R106" s="15">
        <f>($B$3-Q106)</f>
        <v>201.3</v>
      </c>
      <c r="S106" s="15">
        <f>Q106/1000/$B$2</f>
        <v>33.265027322404372</v>
      </c>
      <c r="T106" s="15">
        <v>1000</v>
      </c>
      <c r="U106" s="15">
        <v>49.6</v>
      </c>
      <c r="V106" s="15">
        <f>((T106*$B$3)-(U106*Q106))/R106</f>
        <v>1229.9278688524589</v>
      </c>
      <c r="W106" s="15">
        <f>(1-U106/T106)*100</f>
        <v>95.04</v>
      </c>
      <c r="X106" s="30">
        <f>AVERAGE(L106,S106)</f>
        <v>33.060109289617486</v>
      </c>
      <c r="Y106" s="30">
        <f>STDEV(L106,S106)</f>
        <v>0.28979786114202782</v>
      </c>
      <c r="Z106" s="30">
        <f>AVERAGE(P106,W106)</f>
        <v>94.740000000000009</v>
      </c>
      <c r="AA106" s="30">
        <f>STDEV(P106,W106)</f>
        <v>0.42426406871193451</v>
      </c>
    </row>
    <row r="107" spans="1:35" x14ac:dyDescent="0.2">
      <c r="A107" s="15" t="s">
        <v>0</v>
      </c>
      <c r="B107" s="15">
        <v>30</v>
      </c>
      <c r="C107" s="15">
        <v>7</v>
      </c>
      <c r="D107" s="15">
        <v>1000</v>
      </c>
      <c r="E107" s="15">
        <v>4</v>
      </c>
      <c r="F107" s="15" t="s">
        <v>104</v>
      </c>
      <c r="G107" s="15">
        <v>120</v>
      </c>
      <c r="H107" s="15">
        <v>2</v>
      </c>
      <c r="I107" s="15">
        <v>1</v>
      </c>
      <c r="J107" s="15">
        <v>48.5</v>
      </c>
      <c r="K107" s="15">
        <f>K106-J107</f>
        <v>153.4</v>
      </c>
      <c r="L107" s="15">
        <f>J107/1000/$B$2</f>
        <v>33.12841530054645</v>
      </c>
      <c r="M107" s="15">
        <v>1179.7</v>
      </c>
      <c r="N107" s="15">
        <v>70.3</v>
      </c>
      <c r="O107" s="15">
        <f>((M107*K106)-(N107*J107))/K107</f>
        <v>1530.4555410691005</v>
      </c>
      <c r="P107" s="15">
        <f>(1-N107/M107)*100</f>
        <v>94.040857845214887</v>
      </c>
      <c r="Q107" s="15">
        <v>47.9</v>
      </c>
      <c r="R107" s="15">
        <f>R106-Q107</f>
        <v>153.4</v>
      </c>
      <c r="S107" s="15">
        <f>Q107/1000/$B$2</f>
        <v>32.718579234972673</v>
      </c>
      <c r="T107" s="15">
        <v>1182.8</v>
      </c>
      <c r="U107" s="15">
        <v>65.8</v>
      </c>
      <c r="V107" s="15">
        <f>((T107*R106)-(U107*Q107))/R107</f>
        <v>1531.5894393741851</v>
      </c>
      <c r="W107" s="15">
        <f>(1-U107/T107)*100</f>
        <v>94.436929320257008</v>
      </c>
      <c r="X107" s="30">
        <f>AVERAGE(L107,S107)</f>
        <v>32.923497267759558</v>
      </c>
      <c r="Y107" s="30">
        <f>STDEV(L107,S107)</f>
        <v>0.28979786114203288</v>
      </c>
      <c r="Z107" s="30">
        <f>AVERAGE(P107,W107)</f>
        <v>94.238893582735955</v>
      </c>
      <c r="AA107" s="30">
        <f>STDEV(P107,W107)</f>
        <v>0.28006482583684172</v>
      </c>
      <c r="AB107" s="30">
        <f>L107/L104</f>
        <v>1.0041407867494825</v>
      </c>
      <c r="AC107" s="30">
        <f>S107/S104</f>
        <v>0.99791666666666656</v>
      </c>
      <c r="AD107" s="30">
        <f>X107/X104</f>
        <v>1.001038421599169</v>
      </c>
      <c r="AE107" s="30">
        <f>STDEV(AB107,AC107)</f>
        <v>4.4011175174785127E-3</v>
      </c>
      <c r="AF107" s="30">
        <f>P107/P104</f>
        <v>0.94896574469880079</v>
      </c>
      <c r="AG107" s="30">
        <f>W107/W104</f>
        <v>0.95100795258563198</v>
      </c>
      <c r="AH107" s="30">
        <f>Z107/Z104</f>
        <v>0.94998789687050789</v>
      </c>
      <c r="AI107" s="30">
        <f>STDEV(AF107,AG107)</f>
        <v>1.4440590453709784E-3</v>
      </c>
    </row>
    <row r="108" spans="1:35" x14ac:dyDescent="0.2">
      <c r="A108" s="38" t="s">
        <v>80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35" x14ac:dyDescent="0.2">
      <c r="A109" s="15" t="s">
        <v>5</v>
      </c>
      <c r="B109" s="15">
        <v>12</v>
      </c>
      <c r="C109" s="15">
        <v>7</v>
      </c>
      <c r="D109" s="15">
        <v>3000</v>
      </c>
      <c r="E109" s="15">
        <v>12</v>
      </c>
      <c r="F109" s="15" t="s">
        <v>103</v>
      </c>
      <c r="G109" s="15">
        <v>60</v>
      </c>
      <c r="H109" s="15">
        <v>1</v>
      </c>
      <c r="I109" s="15">
        <v>1</v>
      </c>
      <c r="J109" s="15">
        <v>47.6</v>
      </c>
      <c r="K109" s="15">
        <f>($B$3-J109)</f>
        <v>202.4</v>
      </c>
      <c r="L109" s="15">
        <f>J109/1000/$B$2</f>
        <v>32.513661202185794</v>
      </c>
      <c r="M109" s="15">
        <v>1000</v>
      </c>
      <c r="N109" s="15">
        <v>19</v>
      </c>
      <c r="O109" s="15">
        <f>((M109*$B$3)-(N109*J109))/K109</f>
        <v>1230.709486166008</v>
      </c>
      <c r="P109" s="15">
        <f>(1-N109/M109)*100</f>
        <v>98.1</v>
      </c>
      <c r="Q109" s="15">
        <v>48.1</v>
      </c>
      <c r="R109" s="15">
        <f>($B$3-Q109)</f>
        <v>201.9</v>
      </c>
      <c r="S109" s="15">
        <f>Q109/1000/$B$2</f>
        <v>32.855191256830601</v>
      </c>
      <c r="T109" s="15">
        <v>1000</v>
      </c>
      <c r="U109" s="15">
        <v>15</v>
      </c>
      <c r="V109" s="15">
        <f>((T109*$B$3)-(U109*Q109))/R109</f>
        <v>1234.6631996037643</v>
      </c>
      <c r="W109" s="15">
        <f>(1-U109/T109)*100</f>
        <v>98.5</v>
      </c>
      <c r="X109" s="30">
        <f>AVERAGE(L109,S109)</f>
        <v>32.684426229508198</v>
      </c>
      <c r="Y109" s="30">
        <f>STDEV(L109,S109)</f>
        <v>0.24149821761835485</v>
      </c>
      <c r="Z109" s="30">
        <f>AVERAGE(P109,W109)</f>
        <v>98.3</v>
      </c>
      <c r="AA109" s="30">
        <f>STDEV(P109,W109)</f>
        <v>0.28284271247462306</v>
      </c>
    </row>
    <row r="110" spans="1:35" x14ac:dyDescent="0.2">
      <c r="A110" s="15" t="s">
        <v>5</v>
      </c>
      <c r="B110" s="15">
        <v>12</v>
      </c>
      <c r="C110" s="15">
        <v>7</v>
      </c>
      <c r="D110" s="15">
        <v>3000</v>
      </c>
      <c r="E110" s="15">
        <v>12</v>
      </c>
      <c r="F110" s="15" t="s">
        <v>103</v>
      </c>
      <c r="G110" s="15">
        <v>120</v>
      </c>
      <c r="H110" s="15">
        <v>2</v>
      </c>
      <c r="I110" s="15">
        <v>1</v>
      </c>
      <c r="J110" s="15">
        <v>47.7</v>
      </c>
      <c r="K110" s="15">
        <f>K109-J110</f>
        <v>154.69999999999999</v>
      </c>
      <c r="L110" s="15">
        <f>J110/1000/$B$2</f>
        <v>32.581967213114758</v>
      </c>
      <c r="M110" s="15">
        <v>1183.3</v>
      </c>
      <c r="N110" s="15">
        <v>29.6</v>
      </c>
      <c r="O110" s="15">
        <f>((M110*K109)-(N110*J110))/K110</f>
        <v>1539.0303813833225</v>
      </c>
      <c r="P110" s="15">
        <f>(1-N110/M110)*100</f>
        <v>97.49852108510099</v>
      </c>
      <c r="Q110" s="15">
        <v>47.4</v>
      </c>
      <c r="R110" s="15">
        <f>R109-Q110</f>
        <v>154.5</v>
      </c>
      <c r="S110" s="15">
        <f>Q110/1000/$B$2</f>
        <v>32.377049180327866</v>
      </c>
      <c r="T110" s="15">
        <v>1186.5</v>
      </c>
      <c r="U110" s="15">
        <v>27.3</v>
      </c>
      <c r="V110" s="15">
        <f>((T110*R109)-(U110*Q110))/R110</f>
        <v>1542.1380582524273</v>
      </c>
      <c r="W110" s="15">
        <f>(1-U110/T110)*100</f>
        <v>97.69911504424779</v>
      </c>
      <c r="X110" s="30">
        <f>AVERAGE(L110,S110)</f>
        <v>32.479508196721312</v>
      </c>
      <c r="Y110" s="30">
        <f>STDEV(L110,S110)</f>
        <v>0.14489893057101894</v>
      </c>
      <c r="Z110" s="30">
        <f>AVERAGE(P110,W110)</f>
        <v>97.59881806467439</v>
      </c>
      <c r="AA110" s="30">
        <f>STDEV(P110,W110)</f>
        <v>0.14184134877776003</v>
      </c>
    </row>
    <row r="111" spans="1:35" x14ac:dyDescent="0.2">
      <c r="A111" s="15" t="s">
        <v>5</v>
      </c>
      <c r="B111" s="15">
        <v>12</v>
      </c>
      <c r="C111" s="15">
        <v>7</v>
      </c>
      <c r="D111" s="15">
        <v>3000</v>
      </c>
      <c r="E111" s="15">
        <v>12</v>
      </c>
      <c r="F111" s="15" t="s">
        <v>82</v>
      </c>
      <c r="G111" s="15">
        <v>720</v>
      </c>
      <c r="H111" s="15">
        <v>12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35" x14ac:dyDescent="0.2">
      <c r="A112" s="15" t="s">
        <v>5</v>
      </c>
      <c r="B112" s="15">
        <v>12</v>
      </c>
      <c r="C112" s="15">
        <v>7</v>
      </c>
      <c r="D112" s="15">
        <v>3000</v>
      </c>
      <c r="E112" s="15">
        <v>12</v>
      </c>
      <c r="F112" s="15" t="s">
        <v>104</v>
      </c>
      <c r="G112" s="15">
        <v>60</v>
      </c>
      <c r="H112" s="15">
        <v>1</v>
      </c>
      <c r="I112" s="15">
        <v>1</v>
      </c>
      <c r="J112" s="15">
        <v>57.1</v>
      </c>
      <c r="K112" s="15">
        <f>$B$3-J112</f>
        <v>192.9</v>
      </c>
      <c r="L112" s="15">
        <f>J112/1000/$B$2</f>
        <v>39.002732240437155</v>
      </c>
      <c r="M112" s="15">
        <v>1000</v>
      </c>
      <c r="N112" s="15">
        <v>100.1</v>
      </c>
      <c r="O112" s="15">
        <f>((M112*$B$3)-(N112*J112))/K112</f>
        <v>1266.3778641783308</v>
      </c>
      <c r="P112" s="15">
        <f>(1-N112/M112)*100</f>
        <v>89.990000000000009</v>
      </c>
      <c r="Q112" s="15">
        <v>57.6</v>
      </c>
      <c r="R112" s="15">
        <f>$B$3-Q112</f>
        <v>192.4</v>
      </c>
      <c r="S112" s="15">
        <f>Q112/1000/$B$2</f>
        <v>39.344262295081968</v>
      </c>
      <c r="T112" s="15">
        <v>1000</v>
      </c>
      <c r="U112" s="15">
        <v>94.1</v>
      </c>
      <c r="V112" s="15">
        <f>((T112*$B$3)-(U112*Q112))/R112</f>
        <v>1271.2049896049896</v>
      </c>
      <c r="W112" s="15">
        <f>(1-U112/T112)*100</f>
        <v>90.59</v>
      </c>
      <c r="X112" s="30">
        <f>AVERAGE(L112,S112)</f>
        <v>39.173497267759558</v>
      </c>
      <c r="Y112" s="30">
        <f>STDEV(L112,S112)</f>
        <v>0.24149821761835988</v>
      </c>
      <c r="Z112" s="30">
        <f>AVERAGE(P112,W112)</f>
        <v>90.29</v>
      </c>
      <c r="AA112" s="30">
        <f>STDEV(P112,W112)</f>
        <v>0.42426406871192446</v>
      </c>
    </row>
    <row r="113" spans="1:35" x14ac:dyDescent="0.2">
      <c r="A113" s="15" t="s">
        <v>5</v>
      </c>
      <c r="B113" s="15">
        <v>12</v>
      </c>
      <c r="C113" s="15">
        <v>7</v>
      </c>
      <c r="D113" s="15">
        <v>3000</v>
      </c>
      <c r="E113" s="15">
        <v>12</v>
      </c>
      <c r="F113" s="15" t="s">
        <v>104</v>
      </c>
      <c r="G113" s="15">
        <v>120</v>
      </c>
      <c r="H113" s="15">
        <v>2</v>
      </c>
      <c r="I113" s="15">
        <v>1</v>
      </c>
      <c r="J113" s="15">
        <v>57.4</v>
      </c>
      <c r="K113" s="15">
        <f>K112-J113</f>
        <v>135.5</v>
      </c>
      <c r="L113" s="15">
        <f t="shared" ref="L113:L115" si="47">J113/1000/$B$2</f>
        <v>39.20765027322404</v>
      </c>
      <c r="M113" s="15">
        <v>1210.9000000000001</v>
      </c>
      <c r="N113" s="15">
        <v>126</v>
      </c>
      <c r="O113" s="15">
        <f>((M113*K112)-(N113*J113))/K113</f>
        <v>1670.4812546125463</v>
      </c>
      <c r="P113" s="15">
        <f>(1-N113/M113)*100</f>
        <v>89.594516475348911</v>
      </c>
      <c r="Q113" s="15">
        <v>56.8</v>
      </c>
      <c r="R113" s="15">
        <f>R112-Q113</f>
        <v>135.60000000000002</v>
      </c>
      <c r="S113" s="15">
        <f t="shared" ref="S113:S115" si="48">Q113/1000/$B$2</f>
        <v>38.797814207650269</v>
      </c>
      <c r="T113" s="15">
        <v>1214.3</v>
      </c>
      <c r="U113" s="15">
        <v>121.5</v>
      </c>
      <c r="V113" s="15">
        <f>((T113*R112)-(U113*Q113))/R113</f>
        <v>1672.0510324483773</v>
      </c>
      <c r="W113" s="15">
        <f>(1-U113/T113)*100</f>
        <v>89.994235361936916</v>
      </c>
      <c r="X113" s="30">
        <f>AVERAGE(L113,S113)</f>
        <v>39.002732240437155</v>
      </c>
      <c r="Y113" s="30">
        <f>STDEV(L113,S113)</f>
        <v>0.28979786114202782</v>
      </c>
      <c r="Z113" s="30">
        <f>AVERAGE(P113,W113)</f>
        <v>89.794375918642913</v>
      </c>
      <c r="AA113" s="30">
        <f>STDEV(P113,W113)</f>
        <v>0.28264393527471471</v>
      </c>
      <c r="AB113" s="30">
        <f>L113/L110</f>
        <v>1.20335429769392</v>
      </c>
      <c r="AC113" s="30">
        <f>S113/S110</f>
        <v>1.1983122362869199</v>
      </c>
      <c r="AD113" s="30">
        <f>X113/X110</f>
        <v>1.2008412197686644</v>
      </c>
      <c r="AE113" s="30">
        <f>STDEV(AB113,AC113)</f>
        <v>3.5652758120487855E-3</v>
      </c>
      <c r="AF113" s="30">
        <f>P113/P110</f>
        <v>0.91893205638623876</v>
      </c>
      <c r="AG113" s="30">
        <f>W113/W110</f>
        <v>0.92113664817924557</v>
      </c>
      <c r="AH113" s="30">
        <f>Z113/Z110</f>
        <v>0.92003548505208521</v>
      </c>
      <c r="AI113" s="30">
        <f>STDEV(AF113,AG113)</f>
        <v>1.5588818065833212E-3</v>
      </c>
    </row>
    <row r="114" spans="1:35" x14ac:dyDescent="0.2">
      <c r="A114" s="15" t="s">
        <v>1</v>
      </c>
      <c r="B114" s="15">
        <v>30</v>
      </c>
      <c r="C114" s="15">
        <v>7</v>
      </c>
      <c r="D114" s="15">
        <v>3000</v>
      </c>
      <c r="E114" s="15">
        <v>12</v>
      </c>
      <c r="F114" s="15" t="s">
        <v>103</v>
      </c>
      <c r="G114" s="15">
        <v>60</v>
      </c>
      <c r="H114" s="15">
        <v>1</v>
      </c>
      <c r="I114" s="15">
        <v>1</v>
      </c>
      <c r="J114" s="15">
        <v>48.5</v>
      </c>
      <c r="K114" s="15">
        <f>$B$3-J114</f>
        <v>201.5</v>
      </c>
      <c r="L114" s="15">
        <f t="shared" si="47"/>
        <v>33.12841530054645</v>
      </c>
      <c r="M114" s="15">
        <v>1000</v>
      </c>
      <c r="N114" s="15">
        <v>10</v>
      </c>
      <c r="O114" s="15">
        <f>((M114*$B$3)-(N114*J114))/K114</f>
        <v>1238.2878411910669</v>
      </c>
      <c r="P114" s="15">
        <f t="shared" ref="P114:P115" si="49">(1-N114/M114)*100</f>
        <v>99</v>
      </c>
      <c r="Q114" s="15">
        <v>48.3</v>
      </c>
      <c r="R114" s="15">
        <f>$B$3-Q114</f>
        <v>201.7</v>
      </c>
      <c r="S114" s="15">
        <f t="shared" si="48"/>
        <v>32.991803278688522</v>
      </c>
      <c r="T114" s="15">
        <v>1000</v>
      </c>
      <c r="U114" s="15">
        <v>18</v>
      </c>
      <c r="V114" s="15">
        <f>((T114*$B$3)-(U114*Q114))/R114</f>
        <v>1235.1541893901835</v>
      </c>
      <c r="W114" s="15">
        <f t="shared" ref="W114:W115" si="50">(1-U114/T114)*100</f>
        <v>98.2</v>
      </c>
      <c r="X114" s="30">
        <f>AVERAGE(L114,S114)</f>
        <v>33.060109289617486</v>
      </c>
      <c r="Y114" s="30">
        <f>STDEV(L114,S114)</f>
        <v>9.6599287047345966E-2</v>
      </c>
      <c r="Z114" s="30">
        <f>AVERAGE(P114,W114)</f>
        <v>98.6</v>
      </c>
      <c r="AA114" s="30">
        <f>STDEV(P114,W114)</f>
        <v>0.56568542494923602</v>
      </c>
    </row>
    <row r="115" spans="1:35" x14ac:dyDescent="0.2">
      <c r="A115" s="15" t="s">
        <v>1</v>
      </c>
      <c r="B115" s="15">
        <v>30</v>
      </c>
      <c r="C115" s="15">
        <v>7</v>
      </c>
      <c r="D115" s="15">
        <v>3000</v>
      </c>
      <c r="E115" s="15">
        <v>12</v>
      </c>
      <c r="F115" s="15" t="s">
        <v>103</v>
      </c>
      <c r="G115" s="15">
        <v>120</v>
      </c>
      <c r="H115" s="15">
        <v>2</v>
      </c>
      <c r="I115" s="15">
        <v>1</v>
      </c>
      <c r="J115" s="15">
        <v>47.8</v>
      </c>
      <c r="K115" s="15">
        <f>K114-J115</f>
        <v>153.69999999999999</v>
      </c>
      <c r="L115" s="15">
        <f t="shared" si="47"/>
        <v>32.650273224043715</v>
      </c>
      <c r="M115" s="15">
        <v>1187.8</v>
      </c>
      <c r="N115" s="15">
        <v>21.4</v>
      </c>
      <c r="O115" s="15">
        <f>((M115*K114)-(N115*J115))/K115</f>
        <v>1550.5450878334416</v>
      </c>
      <c r="P115" s="15">
        <f t="shared" si="49"/>
        <v>98.198349890553956</v>
      </c>
      <c r="Q115" s="15">
        <v>48.2</v>
      </c>
      <c r="R115" s="15">
        <f>R114-Q115</f>
        <v>153.5</v>
      </c>
      <c r="S115" s="15">
        <f t="shared" si="48"/>
        <v>32.923497267759565</v>
      </c>
      <c r="T115" s="15">
        <v>1189.2</v>
      </c>
      <c r="U115" s="15">
        <v>16.600000000000001</v>
      </c>
      <c r="V115" s="15">
        <f>((T115*R114)-(U115*Q115))/R115</f>
        <v>1557.4040390879479</v>
      </c>
      <c r="W115" s="15">
        <f t="shared" si="50"/>
        <v>98.604103599058192</v>
      </c>
      <c r="X115" s="30">
        <f>AVERAGE(L115,S115)</f>
        <v>32.786885245901644</v>
      </c>
      <c r="Y115" s="30">
        <f>STDEV(L115,S115)</f>
        <v>0.19319857409468688</v>
      </c>
      <c r="Z115" s="30">
        <f>AVERAGE(P115,W115)</f>
        <v>98.401226744806081</v>
      </c>
      <c r="AA115" s="30">
        <f>STDEV(P115,W115)</f>
        <v>0.28691119877493465</v>
      </c>
    </row>
    <row r="116" spans="1:35" x14ac:dyDescent="0.2">
      <c r="A116" s="15" t="s">
        <v>1</v>
      </c>
      <c r="B116" s="15">
        <v>30</v>
      </c>
      <c r="C116" s="15">
        <v>7</v>
      </c>
      <c r="D116" s="15">
        <v>3000</v>
      </c>
      <c r="E116" s="15">
        <v>12</v>
      </c>
      <c r="F116" s="15" t="s">
        <v>82</v>
      </c>
      <c r="G116" s="15">
        <v>720</v>
      </c>
      <c r="H116" s="15">
        <v>12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35" x14ac:dyDescent="0.2">
      <c r="A117" s="15" t="s">
        <v>1</v>
      </c>
      <c r="B117" s="15">
        <v>30</v>
      </c>
      <c r="C117" s="15">
        <v>7</v>
      </c>
      <c r="D117" s="15">
        <v>3000</v>
      </c>
      <c r="E117" s="15">
        <v>12</v>
      </c>
      <c r="F117" s="15" t="s">
        <v>104</v>
      </c>
      <c r="G117" s="15">
        <v>60</v>
      </c>
      <c r="H117" s="15">
        <v>1</v>
      </c>
      <c r="I117" s="15">
        <v>1</v>
      </c>
      <c r="J117" s="15">
        <v>58.3</v>
      </c>
      <c r="K117" s="15">
        <f>$B$3-J117</f>
        <v>191.7</v>
      </c>
      <c r="L117" s="15">
        <f>J117/1000/$B$2</f>
        <v>39.822404371584696</v>
      </c>
      <c r="M117" s="15">
        <v>1000</v>
      </c>
      <c r="N117" s="15">
        <v>110.4</v>
      </c>
      <c r="O117" s="15">
        <f>((M117*$B$3)-(N117*J117))/K117</f>
        <v>1270.5460615545123</v>
      </c>
      <c r="P117" s="15">
        <f>(1-N117/M117)*100</f>
        <v>88.96</v>
      </c>
      <c r="Q117" s="15">
        <v>57.7</v>
      </c>
      <c r="R117" s="15">
        <f>$B$3-Q117</f>
        <v>192.3</v>
      </c>
      <c r="S117" s="15">
        <f>Q117/1000/$B$2</f>
        <v>39.412568306010932</v>
      </c>
      <c r="T117" s="15">
        <v>1000</v>
      </c>
      <c r="U117" s="15">
        <v>104.4</v>
      </c>
      <c r="V117" s="15">
        <f>((T117*$B$3)-(U117*Q117))/R117</f>
        <v>1268.7265730629224</v>
      </c>
      <c r="W117" s="15">
        <f>(1-U117/T117)*100</f>
        <v>89.56</v>
      </c>
      <c r="X117" s="30">
        <f>AVERAGE(L117,S117)</f>
        <v>39.617486338797818</v>
      </c>
      <c r="Y117" s="30">
        <f>STDEV(L117,S117)</f>
        <v>0.28979786114202283</v>
      </c>
      <c r="Z117" s="30">
        <f>AVERAGE(P117,W117)</f>
        <v>89.259999999999991</v>
      </c>
      <c r="AA117" s="30">
        <f>STDEV(P117,W117)</f>
        <v>0.42426406871193451</v>
      </c>
    </row>
    <row r="118" spans="1:35" x14ac:dyDescent="0.2">
      <c r="A118" s="15" t="s">
        <v>1</v>
      </c>
      <c r="B118" s="15">
        <v>30</v>
      </c>
      <c r="C118" s="15">
        <v>7</v>
      </c>
      <c r="D118" s="15">
        <v>3000</v>
      </c>
      <c r="E118" s="15">
        <v>12</v>
      </c>
      <c r="F118" s="15" t="s">
        <v>104</v>
      </c>
      <c r="G118" s="15">
        <v>120</v>
      </c>
      <c r="H118" s="15">
        <v>2</v>
      </c>
      <c r="I118" s="15">
        <v>1</v>
      </c>
      <c r="J118" s="15">
        <v>57.4</v>
      </c>
      <c r="K118" s="15">
        <f>K117-J118</f>
        <v>134.29999999999998</v>
      </c>
      <c r="L118" s="15">
        <f t="shared" ref="L118:L120" si="51">J118/1000/$B$2</f>
        <v>39.20765027322404</v>
      </c>
      <c r="M118" s="15">
        <v>1209.4000000000001</v>
      </c>
      <c r="N118" s="15">
        <v>140.80000000000001</v>
      </c>
      <c r="O118" s="15">
        <f>((M118*K117)-(N118*J118))/K118</f>
        <v>1666.121072226359</v>
      </c>
      <c r="P118" s="15">
        <f>(1-N118/M118)*100</f>
        <v>88.357863403340502</v>
      </c>
      <c r="Q118" s="15">
        <v>57.8</v>
      </c>
      <c r="R118" s="15">
        <f>R117-Q118</f>
        <v>134.5</v>
      </c>
      <c r="S118" s="15">
        <f t="shared" ref="S118:S120" si="52">Q118/1000/$B$2</f>
        <v>39.480874316939889</v>
      </c>
      <c r="T118" s="15">
        <v>1213.3</v>
      </c>
      <c r="U118" s="15">
        <v>136.4</v>
      </c>
      <c r="V118" s="15">
        <f>((T118*R117)-(U118*Q118))/R118</f>
        <v>1676.0867657992565</v>
      </c>
      <c r="W118" s="15">
        <f>(1-U118/T118)*100</f>
        <v>88.75793291024479</v>
      </c>
      <c r="X118" s="30">
        <f>AVERAGE(L118,S118)</f>
        <v>39.344262295081961</v>
      </c>
      <c r="Y118" s="30">
        <f>STDEV(L118,S118)</f>
        <v>0.19319857409468688</v>
      </c>
      <c r="Z118" s="30">
        <f>AVERAGE(P118,W118)</f>
        <v>88.557898156792646</v>
      </c>
      <c r="AA118" s="30">
        <f>STDEV(P118,W118)</f>
        <v>0.28289186127798011</v>
      </c>
      <c r="AB118" s="30">
        <f>L118/L115</f>
        <v>1.2008368200836819</v>
      </c>
      <c r="AC118" s="30">
        <f>S118/S115</f>
        <v>1.1991701244813278</v>
      </c>
      <c r="AD118" s="30">
        <f>X118/X115</f>
        <v>1.1999999999999997</v>
      </c>
      <c r="AE118" s="30">
        <f>STDEV(AB118,AC118)</f>
        <v>1.1785317625983866E-3</v>
      </c>
      <c r="AF118" s="30">
        <f>P118/P115</f>
        <v>0.89978969607757076</v>
      </c>
      <c r="AG118" s="30">
        <f>W118/W115</f>
        <v>0.90014441256066091</v>
      </c>
      <c r="AH118" s="30">
        <f>Z118/Z115</f>
        <v>0.8999674199840908</v>
      </c>
      <c r="AI118" s="30">
        <f>STDEV(AF118,AG118)</f>
        <v>2.5082243059169272E-4</v>
      </c>
    </row>
    <row r="119" spans="1:35" x14ac:dyDescent="0.2">
      <c r="A119" s="15" t="s">
        <v>0</v>
      </c>
      <c r="B119" s="15">
        <v>30</v>
      </c>
      <c r="C119" s="15">
        <v>7</v>
      </c>
      <c r="D119" s="15">
        <v>3000</v>
      </c>
      <c r="E119" s="15">
        <v>12</v>
      </c>
      <c r="F119" s="15" t="s">
        <v>103</v>
      </c>
      <c r="G119" s="15">
        <v>60</v>
      </c>
      <c r="H119" s="15">
        <v>1</v>
      </c>
      <c r="I119" s="15">
        <v>1</v>
      </c>
      <c r="J119" s="15">
        <v>48.5</v>
      </c>
      <c r="K119" s="15">
        <f>$B$3-J119</f>
        <v>201.5</v>
      </c>
      <c r="L119" s="15">
        <f t="shared" si="51"/>
        <v>33.12841530054645</v>
      </c>
      <c r="M119" s="15">
        <v>1000</v>
      </c>
      <c r="N119" s="15">
        <v>17</v>
      </c>
      <c r="O119" s="15">
        <f>((M119*$B$3)-(N119*J119))/K119</f>
        <v>1236.6029776674939</v>
      </c>
      <c r="P119" s="15">
        <f t="shared" ref="P119:P120" si="53">(1-N119/M119)*100</f>
        <v>98.3</v>
      </c>
      <c r="Q119" s="15">
        <v>48.8</v>
      </c>
      <c r="R119" s="15">
        <f>$B$3-Q119</f>
        <v>201.2</v>
      </c>
      <c r="S119" s="15">
        <f t="shared" si="52"/>
        <v>33.333333333333329</v>
      </c>
      <c r="T119" s="15">
        <v>1000</v>
      </c>
      <c r="U119" s="15">
        <v>17</v>
      </c>
      <c r="V119" s="15">
        <f>((T119*$B$3)-(U119*Q119))/R119</f>
        <v>1238.4214711729624</v>
      </c>
      <c r="W119" s="15">
        <f t="shared" ref="W119:W120" si="54">(1-U119/T119)*100</f>
        <v>98.3</v>
      </c>
      <c r="X119" s="30">
        <f>AVERAGE(L119,S119)</f>
        <v>33.230874316939889</v>
      </c>
      <c r="Y119" s="30">
        <f>STDEV(L119,S119)</f>
        <v>0.14489893057100889</v>
      </c>
      <c r="Z119" s="30">
        <f>AVERAGE(P119,W119)</f>
        <v>98.3</v>
      </c>
      <c r="AA119" s="30">
        <f>STDEV(P119,W119)</f>
        <v>0</v>
      </c>
    </row>
    <row r="120" spans="1:35" x14ac:dyDescent="0.2">
      <c r="A120" s="15" t="s">
        <v>0</v>
      </c>
      <c r="B120" s="15">
        <v>30</v>
      </c>
      <c r="C120" s="15">
        <v>7</v>
      </c>
      <c r="D120" s="15">
        <v>3000</v>
      </c>
      <c r="E120" s="15">
        <v>12</v>
      </c>
      <c r="F120" s="15" t="s">
        <v>103</v>
      </c>
      <c r="G120" s="15">
        <v>120</v>
      </c>
      <c r="H120" s="15">
        <v>2</v>
      </c>
      <c r="I120" s="15">
        <v>1</v>
      </c>
      <c r="J120" s="15">
        <v>48.7</v>
      </c>
      <c r="K120" s="15">
        <f>K119-J120</f>
        <v>152.80000000000001</v>
      </c>
      <c r="L120" s="15">
        <f t="shared" si="51"/>
        <v>33.265027322404372</v>
      </c>
      <c r="M120" s="15">
        <v>1187.0999999999999</v>
      </c>
      <c r="N120" s="15">
        <v>15.4</v>
      </c>
      <c r="O120" s="15">
        <f>((M120*K119)-(N120*J120))/K120</f>
        <v>1560.5410340314133</v>
      </c>
      <c r="P120" s="15">
        <f t="shared" si="53"/>
        <v>98.702720916519255</v>
      </c>
      <c r="Q120" s="15">
        <v>48.2</v>
      </c>
      <c r="R120" s="15">
        <f>R119-Q120</f>
        <v>153</v>
      </c>
      <c r="S120" s="15">
        <f t="shared" si="52"/>
        <v>32.923497267759565</v>
      </c>
      <c r="T120" s="15">
        <v>1189.0999999999999</v>
      </c>
      <c r="U120" s="15">
        <v>13.1</v>
      </c>
      <c r="V120" s="15">
        <f>((T120*R119)-(U120*Q120))/R120</f>
        <v>1559.5784313725487</v>
      </c>
      <c r="W120" s="15">
        <f t="shared" si="54"/>
        <v>98.898326465393993</v>
      </c>
      <c r="X120" s="30">
        <f>AVERAGE(L120,S120)</f>
        <v>33.094262295081968</v>
      </c>
      <c r="Y120" s="30">
        <f>STDEV(L120,S120)</f>
        <v>0.24149821761835485</v>
      </c>
      <c r="Z120" s="30">
        <f>AVERAGE(P120,W120)</f>
        <v>98.800523690956624</v>
      </c>
      <c r="AA120" s="30">
        <f>STDEV(P120,W120)</f>
        <v>0.13831401004704397</v>
      </c>
    </row>
    <row r="121" spans="1:35" x14ac:dyDescent="0.2">
      <c r="A121" s="15" t="s">
        <v>0</v>
      </c>
      <c r="B121" s="15">
        <v>30</v>
      </c>
      <c r="C121" s="15">
        <v>7</v>
      </c>
      <c r="D121" s="15">
        <v>3000</v>
      </c>
      <c r="E121" s="15">
        <v>12</v>
      </c>
      <c r="F121" s="15" t="s">
        <v>82</v>
      </c>
      <c r="G121" s="15">
        <v>720</v>
      </c>
      <c r="H121" s="15">
        <v>12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35" x14ac:dyDescent="0.2">
      <c r="A122" s="15" t="s">
        <v>0</v>
      </c>
      <c r="B122" s="15">
        <v>30</v>
      </c>
      <c r="C122" s="15">
        <v>7</v>
      </c>
      <c r="D122" s="15">
        <v>3000</v>
      </c>
      <c r="E122" s="15">
        <v>12</v>
      </c>
      <c r="F122" s="15" t="s">
        <v>104</v>
      </c>
      <c r="G122" s="15">
        <v>60</v>
      </c>
      <c r="H122" s="15">
        <v>1</v>
      </c>
      <c r="I122" s="15">
        <v>1</v>
      </c>
      <c r="J122" s="15">
        <v>53.6</v>
      </c>
      <c r="K122" s="15">
        <f>($B$3-J122)</f>
        <v>196.4</v>
      </c>
      <c r="L122" s="15">
        <f>J122/1000/$B$2</f>
        <v>36.612021857923494</v>
      </c>
      <c r="M122" s="15">
        <v>1000</v>
      </c>
      <c r="N122" s="15">
        <v>75.2</v>
      </c>
      <c r="O122" s="15">
        <f>((M122*$B$3)-(N122*J122))/K122</f>
        <v>1252.3894093686354</v>
      </c>
      <c r="P122" s="15">
        <f>(1-N122/M122)*100</f>
        <v>92.47999999999999</v>
      </c>
      <c r="Q122" s="15">
        <v>53.9</v>
      </c>
      <c r="R122" s="15">
        <f>($B$3-Q122)</f>
        <v>196.1</v>
      </c>
      <c r="S122" s="15">
        <f>Q122/1000/$B$2</f>
        <v>36.81693989071038</v>
      </c>
      <c r="T122" s="15">
        <v>1000</v>
      </c>
      <c r="U122" s="15">
        <v>74</v>
      </c>
      <c r="V122" s="15">
        <f>((T122*$B$3)-(U122*Q122))/R122</f>
        <v>1254.5201427842937</v>
      </c>
      <c r="W122" s="15">
        <f>(1-U122/T122)*100</f>
        <v>92.600000000000009</v>
      </c>
      <c r="X122" s="30">
        <f>AVERAGE(L122,S122)</f>
        <v>36.714480874316934</v>
      </c>
      <c r="Y122" s="30">
        <f>STDEV(L122,S122)</f>
        <v>0.14489893057101391</v>
      </c>
      <c r="Z122" s="30">
        <f>AVERAGE(P122,W122)</f>
        <v>92.539999999999992</v>
      </c>
      <c r="AA122" s="30">
        <f>STDEV(P122,W122)</f>
        <v>8.4852813742398975E-2</v>
      </c>
    </row>
    <row r="123" spans="1:35" x14ac:dyDescent="0.2">
      <c r="A123" s="15" t="s">
        <v>0</v>
      </c>
      <c r="B123" s="15">
        <v>30</v>
      </c>
      <c r="C123" s="15">
        <v>7</v>
      </c>
      <c r="D123" s="15">
        <v>3000</v>
      </c>
      <c r="E123" s="15">
        <v>12</v>
      </c>
      <c r="F123" s="15" t="s">
        <v>104</v>
      </c>
      <c r="G123" s="15">
        <v>120</v>
      </c>
      <c r="H123" s="15">
        <v>2</v>
      </c>
      <c r="I123" s="15">
        <v>1</v>
      </c>
      <c r="J123" s="15">
        <v>53.5</v>
      </c>
      <c r="K123" s="15">
        <f>K122-J123</f>
        <v>142.9</v>
      </c>
      <c r="L123" s="15">
        <f>J123/1000/$B$2</f>
        <v>36.543715846994537</v>
      </c>
      <c r="M123" s="15">
        <v>1197.7</v>
      </c>
      <c r="N123" s="15">
        <v>99.6</v>
      </c>
      <c r="O123" s="15">
        <f>((M123*K122)-(N123*J123))/K123</f>
        <v>1608.8151154653606</v>
      </c>
      <c r="P123" s="15">
        <f>(1-N123/M123)*100</f>
        <v>91.684061117141198</v>
      </c>
      <c r="Q123" s="15">
        <v>53.1</v>
      </c>
      <c r="R123" s="15">
        <f>R122-Q123</f>
        <v>143</v>
      </c>
      <c r="S123" s="15">
        <f>Q123/1000/$B$2</f>
        <v>36.270491803278688</v>
      </c>
      <c r="T123" s="15">
        <v>1200.5999999999999</v>
      </c>
      <c r="U123" s="15">
        <v>95</v>
      </c>
      <c r="V123" s="15">
        <f>((T123*R122)-(U123*Q123))/R123</f>
        <v>1611.1409790209789</v>
      </c>
      <c r="W123" s="15">
        <f>(1-U123/T123)*100</f>
        <v>92.087289688489093</v>
      </c>
      <c r="X123" s="30">
        <f>AVERAGE(L123,S123)</f>
        <v>36.407103825136616</v>
      </c>
      <c r="Y123" s="30">
        <f>STDEV(L123,S123)</f>
        <v>0.19319857409468688</v>
      </c>
      <c r="Z123" s="30">
        <f>AVERAGE(P123,W123)</f>
        <v>91.885675402815139</v>
      </c>
      <c r="AA123" s="30">
        <f>STDEV(P123,W123)</f>
        <v>0.28512565716826055</v>
      </c>
      <c r="AB123" s="30">
        <f>L123/L120</f>
        <v>1.0985626283367558</v>
      </c>
      <c r="AC123" s="30">
        <f>S123/S120</f>
        <v>1.1016597510373443</v>
      </c>
      <c r="AD123" s="30">
        <f>X123/X120</f>
        <v>1.1001031991744068</v>
      </c>
      <c r="AE123" s="30">
        <f>STDEV(AB123,AC123)</f>
        <v>2.1899964637529102E-3</v>
      </c>
      <c r="AF123" s="30">
        <f>P123/P120</f>
        <v>0.92889091876895369</v>
      </c>
      <c r="AG123" s="30">
        <f>W123/W120</f>
        <v>0.93113091980087059</v>
      </c>
      <c r="AH123" s="30">
        <f>Z123/Z120</f>
        <v>0.93001202797496496</v>
      </c>
      <c r="AI123" s="30">
        <f>STDEV(AF123,AG123)</f>
        <v>1.5839199195333076E-3</v>
      </c>
    </row>
    <row r="124" spans="1:35" x14ac:dyDescent="0.2">
      <c r="A124" s="38" t="s">
        <v>81</v>
      </c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35" x14ac:dyDescent="0.2">
      <c r="A125" s="15" t="s">
        <v>5</v>
      </c>
      <c r="B125" s="15">
        <v>12</v>
      </c>
      <c r="C125" s="15">
        <v>7</v>
      </c>
      <c r="D125" s="15">
        <v>6000</v>
      </c>
      <c r="E125" s="15">
        <v>24</v>
      </c>
      <c r="F125" s="15" t="s">
        <v>103</v>
      </c>
      <c r="G125" s="15">
        <v>60</v>
      </c>
      <c r="H125" s="15">
        <v>1</v>
      </c>
      <c r="I125" s="15">
        <v>1</v>
      </c>
      <c r="J125" s="15">
        <v>48.5</v>
      </c>
      <c r="K125" s="15">
        <f>($B$3-J125)</f>
        <v>201.5</v>
      </c>
      <c r="L125" s="15">
        <f>J125/1000/$B$2</f>
        <v>33.12841530054645</v>
      </c>
      <c r="M125" s="15">
        <v>1000</v>
      </c>
      <c r="N125" s="15">
        <v>31</v>
      </c>
      <c r="O125" s="15">
        <f>((M125*$B$3)-(N125*J125))/K125</f>
        <v>1233.2332506203475</v>
      </c>
      <c r="P125" s="15">
        <f>(1-N125/M125)*100</f>
        <v>96.899999999999991</v>
      </c>
      <c r="Q125" s="15">
        <v>48</v>
      </c>
      <c r="R125" s="15">
        <f>($B$3-Q125)</f>
        <v>202</v>
      </c>
      <c r="S125" s="15">
        <f>Q125/1000/$B$2</f>
        <v>32.786885245901637</v>
      </c>
      <c r="T125" s="15">
        <v>1000</v>
      </c>
      <c r="U125" s="15">
        <v>25</v>
      </c>
      <c r="V125" s="15">
        <f>((T125*$B$3)-(U125*Q125))/R125</f>
        <v>1231.6831683168316</v>
      </c>
      <c r="W125" s="15">
        <f>(1-U125/T125)*100</f>
        <v>97.5</v>
      </c>
      <c r="X125" s="30">
        <f>AVERAGE(L125,S125)</f>
        <v>32.957650273224047</v>
      </c>
      <c r="Y125" s="30">
        <f>STDEV(L125,S125)</f>
        <v>0.24149821761835988</v>
      </c>
      <c r="Z125" s="30">
        <f>AVERAGE(P125,W125)</f>
        <v>97.199999999999989</v>
      </c>
      <c r="AA125" s="30">
        <f>STDEV(P125,W125)</f>
        <v>0.42426406871193451</v>
      </c>
    </row>
    <row r="126" spans="1:35" x14ac:dyDescent="0.2">
      <c r="A126" s="15" t="s">
        <v>5</v>
      </c>
      <c r="B126" s="15">
        <v>12</v>
      </c>
      <c r="C126" s="15">
        <v>7</v>
      </c>
      <c r="D126" s="15">
        <v>6000</v>
      </c>
      <c r="E126" s="15">
        <v>24</v>
      </c>
      <c r="F126" s="15" t="s">
        <v>103</v>
      </c>
      <c r="G126" s="15">
        <v>120</v>
      </c>
      <c r="H126" s="15">
        <v>2</v>
      </c>
      <c r="I126" s="15">
        <v>1</v>
      </c>
      <c r="J126" s="15">
        <v>47.8</v>
      </c>
      <c r="K126" s="15">
        <f>K125-J126</f>
        <v>153.69999999999999</v>
      </c>
      <c r="L126" s="15">
        <f>J126/1000/$B$2</f>
        <v>32.650273224043715</v>
      </c>
      <c r="M126" s="15">
        <v>1183.0999999999999</v>
      </c>
      <c r="N126" s="15">
        <v>43.8</v>
      </c>
      <c r="O126" s="15">
        <f>((M126*K125)-(N126*J126))/K126</f>
        <v>1537.4171112556928</v>
      </c>
      <c r="P126" s="15">
        <f>(1-N126/M126)*100</f>
        <v>96.297861550164825</v>
      </c>
      <c r="Q126" s="15">
        <v>48.3</v>
      </c>
      <c r="R126" s="15">
        <f>R125-Q126</f>
        <v>153.69999999999999</v>
      </c>
      <c r="S126" s="15">
        <f>Q126/1000/$B$2</f>
        <v>32.991803278688522</v>
      </c>
      <c r="T126" s="15">
        <v>1186.5999999999999</v>
      </c>
      <c r="U126" s="15">
        <v>39.200000000000003</v>
      </c>
      <c r="V126" s="15">
        <f>((T126*R125)-(U126*Q126))/R126</f>
        <v>1547.1687703318153</v>
      </c>
      <c r="W126" s="15">
        <f>(1-U126/T126)*100</f>
        <v>96.696443620428113</v>
      </c>
      <c r="X126" s="30">
        <f>AVERAGE(L126,S126)</f>
        <v>32.821038251366119</v>
      </c>
      <c r="Y126" s="30">
        <f>STDEV(L126,S126)</f>
        <v>0.24149821761835485</v>
      </c>
      <c r="Z126" s="30">
        <f>AVERAGE(P126,W126)</f>
        <v>96.497152585296476</v>
      </c>
      <c r="AA126" s="30">
        <f>STDEV(P126,W126)</f>
        <v>0.28184008474254379</v>
      </c>
    </row>
    <row r="127" spans="1:35" x14ac:dyDescent="0.2">
      <c r="A127" s="15" t="s">
        <v>5</v>
      </c>
      <c r="B127" s="15">
        <v>12</v>
      </c>
      <c r="C127" s="15">
        <v>7</v>
      </c>
      <c r="D127" s="15">
        <v>6000</v>
      </c>
      <c r="E127" s="15">
        <v>24</v>
      </c>
      <c r="F127" s="15" t="s">
        <v>82</v>
      </c>
      <c r="G127" s="15">
        <v>1440</v>
      </c>
      <c r="H127" s="15">
        <v>24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35" x14ac:dyDescent="0.2">
      <c r="A128" s="15" t="s">
        <v>5</v>
      </c>
      <c r="B128" s="15">
        <v>12</v>
      </c>
      <c r="C128" s="15">
        <v>7</v>
      </c>
      <c r="D128" s="15">
        <v>6000</v>
      </c>
      <c r="E128" s="15">
        <v>24</v>
      </c>
      <c r="F128" s="15" t="s">
        <v>104</v>
      </c>
      <c r="G128" s="15">
        <v>60</v>
      </c>
      <c r="H128" s="15">
        <v>1</v>
      </c>
      <c r="I128" s="15">
        <v>1</v>
      </c>
      <c r="J128" s="15">
        <v>67.7</v>
      </c>
      <c r="K128" s="15">
        <f>$B$3-J128</f>
        <v>182.3</v>
      </c>
      <c r="L128" s="15">
        <f>J128/1000/$B$2</f>
        <v>46.243169398907099</v>
      </c>
      <c r="M128" s="15">
        <v>1000</v>
      </c>
      <c r="N128" s="15">
        <v>158.4</v>
      </c>
      <c r="O128" s="15">
        <f>((M128*$B$3)-(N128*J128))/K128</f>
        <v>1312.5415249588589</v>
      </c>
      <c r="P128" s="15">
        <f>(1-N128/M128)*100</f>
        <v>84.16</v>
      </c>
      <c r="Q128" s="15">
        <v>67.3</v>
      </c>
      <c r="R128" s="15">
        <f>$B$3-Q128</f>
        <v>182.7</v>
      </c>
      <c r="S128" s="15">
        <f>Q128/1000/$B$2</f>
        <v>45.969945355191257</v>
      </c>
      <c r="T128" s="15">
        <v>1000</v>
      </c>
      <c r="U128" s="15">
        <v>152.5</v>
      </c>
      <c r="V128" s="15">
        <f>((T128*$B$3)-(U128*Q128))/R128</f>
        <v>1312.1880131362891</v>
      </c>
      <c r="W128" s="15">
        <f>(1-U128/T128)*100</f>
        <v>84.75</v>
      </c>
      <c r="X128" s="30">
        <f>AVERAGE(L128,S128)</f>
        <v>46.106557377049178</v>
      </c>
      <c r="Y128" s="30">
        <f>STDEV(L128,S128)</f>
        <v>0.19319857409468189</v>
      </c>
      <c r="Z128" s="30">
        <f>AVERAGE(P128,W128)</f>
        <v>84.454999999999998</v>
      </c>
      <c r="AA128" s="30">
        <f>STDEV(P128,W128)</f>
        <v>0.41719300090006545</v>
      </c>
    </row>
    <row r="129" spans="1:35" x14ac:dyDescent="0.2">
      <c r="A129" s="15" t="s">
        <v>5</v>
      </c>
      <c r="B129" s="15">
        <v>12</v>
      </c>
      <c r="C129" s="15">
        <v>7</v>
      </c>
      <c r="D129" s="15">
        <v>6000</v>
      </c>
      <c r="E129" s="15">
        <v>24</v>
      </c>
      <c r="F129" s="15" t="s">
        <v>104</v>
      </c>
      <c r="G129" s="15">
        <v>120</v>
      </c>
      <c r="H129" s="15">
        <v>2</v>
      </c>
      <c r="I129" s="15">
        <v>1</v>
      </c>
      <c r="J129" s="15">
        <v>67</v>
      </c>
      <c r="K129" s="15">
        <f>K128-J129</f>
        <v>115.30000000000001</v>
      </c>
      <c r="L129" s="15">
        <f t="shared" ref="L129:L131" si="55">J129/1000/$B$2</f>
        <v>45.765027322404372</v>
      </c>
      <c r="M129" s="15">
        <v>1242.4000000000001</v>
      </c>
      <c r="N129" s="15">
        <v>201.8</v>
      </c>
      <c r="O129" s="15">
        <f>((M129*K128)-(N129*J129))/K129</f>
        <v>1847.0851691240241</v>
      </c>
      <c r="P129" s="15">
        <f>(1-N129/M129)*100</f>
        <v>83.757244043786216</v>
      </c>
      <c r="Q129" s="15">
        <v>67.5</v>
      </c>
      <c r="R129" s="15">
        <f>R128-Q129</f>
        <v>115.19999999999999</v>
      </c>
      <c r="S129" s="15">
        <f t="shared" ref="S129:S131" si="56">Q129/1000/$B$2</f>
        <v>46.106557377049185</v>
      </c>
      <c r="T129" s="15">
        <v>1246.0999999999999</v>
      </c>
      <c r="U129" s="15">
        <v>197.4</v>
      </c>
      <c r="V129" s="15">
        <f>((T129*R128)-(U129*Q129))/R129</f>
        <v>1860.5726562499999</v>
      </c>
      <c r="W129" s="15">
        <f>(1-U129/T129)*100</f>
        <v>84.15857475323007</v>
      </c>
      <c r="X129" s="30">
        <f>AVERAGE(L129,S129)</f>
        <v>45.935792349726782</v>
      </c>
      <c r="Y129" s="30">
        <f>STDEV(L129,S129)</f>
        <v>0.24149821761835988</v>
      </c>
      <c r="Z129" s="30">
        <f>AVERAGE(P129,W129)</f>
        <v>83.95790939850815</v>
      </c>
      <c r="AA129" s="30">
        <f>STDEV(P129,W129)</f>
        <v>0.28378366614615752</v>
      </c>
      <c r="AB129" s="30">
        <f>L129/L126</f>
        <v>1.401673640167364</v>
      </c>
      <c r="AC129" s="30">
        <f>S129/S126</f>
        <v>1.3975155279503109</v>
      </c>
      <c r="AD129" s="30">
        <f>X129/X126</f>
        <v>1.3995837669094695</v>
      </c>
      <c r="AE129" s="30">
        <f>STDEV(AB129,AC129)</f>
        <v>2.9402293456128686E-3</v>
      </c>
      <c r="AF129" s="30">
        <f>P129/P126</f>
        <v>0.8697726272992492</v>
      </c>
      <c r="AG129" s="30">
        <f>W129/W126</f>
        <v>0.8703378490690501</v>
      </c>
      <c r="AH129" s="30">
        <f>Z129/Z126</f>
        <v>0.87005582184713126</v>
      </c>
      <c r="AI129" s="30">
        <f>STDEV(AF129,AG129)</f>
        <v>3.9967214630047413E-4</v>
      </c>
    </row>
    <row r="130" spans="1:35" x14ac:dyDescent="0.2">
      <c r="A130" s="15" t="s">
        <v>1</v>
      </c>
      <c r="B130" s="15">
        <v>30</v>
      </c>
      <c r="C130" s="15">
        <v>7</v>
      </c>
      <c r="D130" s="15">
        <v>6000</v>
      </c>
      <c r="E130" s="15">
        <v>24</v>
      </c>
      <c r="F130" s="15" t="s">
        <v>103</v>
      </c>
      <c r="G130" s="15">
        <v>60</v>
      </c>
      <c r="H130" s="15">
        <v>1</v>
      </c>
      <c r="I130" s="15">
        <v>1</v>
      </c>
      <c r="J130" s="15">
        <v>48.5</v>
      </c>
      <c r="K130" s="15">
        <f>$B$3-J130</f>
        <v>201.5</v>
      </c>
      <c r="L130" s="15">
        <f t="shared" si="55"/>
        <v>33.12841530054645</v>
      </c>
      <c r="M130" s="15">
        <v>1000</v>
      </c>
      <c r="N130" s="15">
        <v>19</v>
      </c>
      <c r="O130" s="15">
        <f>((M130*$B$3)-(N130*J130))/K130</f>
        <v>1236.1215880893301</v>
      </c>
      <c r="P130" s="15">
        <f t="shared" ref="P130:P131" si="57">(1-N130/M130)*100</f>
        <v>98.1</v>
      </c>
      <c r="Q130" s="15">
        <v>49</v>
      </c>
      <c r="R130" s="15">
        <f>$B$3-Q130</f>
        <v>201</v>
      </c>
      <c r="S130" s="15">
        <f t="shared" si="56"/>
        <v>33.469945355191257</v>
      </c>
      <c r="T130" s="15">
        <v>1000</v>
      </c>
      <c r="U130" s="15">
        <v>13</v>
      </c>
      <c r="V130" s="15">
        <f>((T130*$B$3)-(U130*Q130))/R130</f>
        <v>1240.6119402985075</v>
      </c>
      <c r="W130" s="15">
        <f t="shared" ref="W130:W131" si="58">(1-U130/T130)*100</f>
        <v>98.7</v>
      </c>
      <c r="X130" s="30">
        <f>AVERAGE(L130,S130)</f>
        <v>33.299180327868854</v>
      </c>
      <c r="Y130" s="30">
        <f>STDEV(L130,S130)</f>
        <v>0.24149821761835485</v>
      </c>
      <c r="Z130" s="30">
        <f>AVERAGE(P130,W130)</f>
        <v>98.4</v>
      </c>
      <c r="AA130" s="30">
        <f>STDEV(P130,W130)</f>
        <v>0.42426406871193451</v>
      </c>
    </row>
    <row r="131" spans="1:35" x14ac:dyDescent="0.2">
      <c r="A131" s="15" t="s">
        <v>1</v>
      </c>
      <c r="B131" s="15">
        <v>30</v>
      </c>
      <c r="C131" s="15">
        <v>7</v>
      </c>
      <c r="D131" s="15">
        <v>6000</v>
      </c>
      <c r="E131" s="15">
        <v>24</v>
      </c>
      <c r="F131" s="15" t="s">
        <v>103</v>
      </c>
      <c r="G131" s="15">
        <v>120</v>
      </c>
      <c r="H131" s="15">
        <v>2</v>
      </c>
      <c r="I131" s="15">
        <v>1</v>
      </c>
      <c r="J131" s="15">
        <v>48.6</v>
      </c>
      <c r="K131" s="15">
        <f>K130-J131</f>
        <v>152.9</v>
      </c>
      <c r="L131" s="15">
        <f t="shared" si="55"/>
        <v>33.196721311475414</v>
      </c>
      <c r="M131" s="15">
        <v>1188.0999999999999</v>
      </c>
      <c r="N131" s="15">
        <v>13.1</v>
      </c>
      <c r="O131" s="15">
        <f>((M131*K130)-(N131*J131))/K131</f>
        <v>1561.5793982995422</v>
      </c>
      <c r="P131" s="15">
        <f t="shared" si="57"/>
        <v>98.897399208820801</v>
      </c>
      <c r="Q131" s="15">
        <v>48.3</v>
      </c>
      <c r="R131" s="15">
        <f>R130-Q131</f>
        <v>152.69999999999999</v>
      </c>
      <c r="S131" s="15">
        <f t="shared" si="56"/>
        <v>32.991803278688522</v>
      </c>
      <c r="T131" s="15">
        <v>1192.2</v>
      </c>
      <c r="U131" s="15">
        <v>10.7</v>
      </c>
      <c r="V131" s="15">
        <f>((T131*R130)-(U131*Q131))/R131</f>
        <v>1565.9161100196466</v>
      </c>
      <c r="W131" s="15">
        <f t="shared" si="58"/>
        <v>99.102499580607287</v>
      </c>
      <c r="X131" s="30">
        <f>AVERAGE(L131,S131)</f>
        <v>33.094262295081968</v>
      </c>
      <c r="Y131" s="30">
        <f>STDEV(L131,S131)</f>
        <v>0.14489893057101894</v>
      </c>
      <c r="Z131" s="30">
        <f>AVERAGE(P131,W131)</f>
        <v>98.999949394714037</v>
      </c>
      <c r="AA131" s="30">
        <f>STDEV(P131,W131)</f>
        <v>0.14502786371410623</v>
      </c>
    </row>
    <row r="132" spans="1:35" x14ac:dyDescent="0.2">
      <c r="A132" s="15" t="s">
        <v>1</v>
      </c>
      <c r="B132" s="15">
        <v>30</v>
      </c>
      <c r="C132" s="15">
        <v>7</v>
      </c>
      <c r="D132" s="15">
        <v>6000</v>
      </c>
      <c r="E132" s="15">
        <v>24</v>
      </c>
      <c r="F132" s="15" t="s">
        <v>82</v>
      </c>
      <c r="G132" s="15">
        <v>1440</v>
      </c>
      <c r="H132" s="15">
        <v>24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35" x14ac:dyDescent="0.2">
      <c r="A133" s="15" t="s">
        <v>1</v>
      </c>
      <c r="B133" s="15">
        <v>30</v>
      </c>
      <c r="C133" s="15">
        <v>7</v>
      </c>
      <c r="D133" s="15">
        <v>6000</v>
      </c>
      <c r="E133" s="15">
        <v>24</v>
      </c>
      <c r="F133" s="15" t="s">
        <v>104</v>
      </c>
      <c r="G133" s="15">
        <v>60</v>
      </c>
      <c r="H133" s="15">
        <v>1</v>
      </c>
      <c r="I133" s="15">
        <v>1</v>
      </c>
      <c r="J133" s="15">
        <v>67.900000000000006</v>
      </c>
      <c r="K133" s="15">
        <f>$B$3-J133</f>
        <v>182.1</v>
      </c>
      <c r="L133" s="15">
        <f>J133/1000/$B$2</f>
        <v>46.379781420765028</v>
      </c>
      <c r="M133" s="15">
        <v>1000</v>
      </c>
      <c r="N133" s="15">
        <v>164.4</v>
      </c>
      <c r="O133" s="15">
        <f>((M133*$B$3)-(N133*J133))/K133</f>
        <v>1311.5718835804503</v>
      </c>
      <c r="P133" s="15">
        <f>(1-N133/M133)*100</f>
        <v>83.56</v>
      </c>
      <c r="Q133" s="15">
        <v>68.400000000000006</v>
      </c>
      <c r="R133" s="15">
        <f>$B$3-Q133</f>
        <v>181.6</v>
      </c>
      <c r="S133" s="15">
        <f>Q133/1000/$B$2</f>
        <v>46.721311475409834</v>
      </c>
      <c r="T133" s="15">
        <v>1000</v>
      </c>
      <c r="U133" s="15">
        <v>158.4</v>
      </c>
      <c r="V133" s="15">
        <f>((T133*$B$3)-(U133*Q133))/R133</f>
        <v>1316.9903083700442</v>
      </c>
      <c r="W133" s="15">
        <f>(1-U133/T133)*100</f>
        <v>84.16</v>
      </c>
      <c r="X133" s="30">
        <f>AVERAGE(L133,S133)</f>
        <v>46.550546448087431</v>
      </c>
      <c r="Y133" s="30">
        <f>STDEV(L133,S133)</f>
        <v>0.24149821761835485</v>
      </c>
      <c r="Z133" s="30">
        <f>AVERAGE(P133,W133)</f>
        <v>83.86</v>
      </c>
      <c r="AA133" s="30">
        <f>STDEV(P133,W133)</f>
        <v>0.42426406871192446</v>
      </c>
    </row>
    <row r="134" spans="1:35" x14ac:dyDescent="0.2">
      <c r="A134" s="15" t="s">
        <v>1</v>
      </c>
      <c r="B134" s="15">
        <v>30</v>
      </c>
      <c r="C134" s="15">
        <v>7</v>
      </c>
      <c r="D134" s="15">
        <v>6000</v>
      </c>
      <c r="E134" s="15">
        <v>24</v>
      </c>
      <c r="F134" s="15" t="s">
        <v>104</v>
      </c>
      <c r="G134" s="15">
        <v>120</v>
      </c>
      <c r="H134" s="15">
        <v>2</v>
      </c>
      <c r="I134" s="15">
        <v>1</v>
      </c>
      <c r="J134" s="15">
        <v>68.099999999999994</v>
      </c>
      <c r="K134" s="15">
        <f>K133-J134</f>
        <v>114</v>
      </c>
      <c r="L134" s="15">
        <f t="shared" ref="L134:L136" si="59">J134/1000/$B$2</f>
        <v>46.516393442622949</v>
      </c>
      <c r="M134" s="15">
        <v>1241.8</v>
      </c>
      <c r="N134" s="15">
        <v>211.6</v>
      </c>
      <c r="O134" s="15">
        <f>((M134*K133)-(N134*J134))/K134</f>
        <v>1857.2089473684211</v>
      </c>
      <c r="P134" s="15">
        <f>(1-N134/M134)*100</f>
        <v>82.960219036881938</v>
      </c>
      <c r="Q134" s="15">
        <v>67.5</v>
      </c>
      <c r="R134" s="15">
        <f>R133-Q134</f>
        <v>114.1</v>
      </c>
      <c r="S134" s="15">
        <f t="shared" ref="S134:S136" si="60">Q134/1000/$B$2</f>
        <v>46.106557377049185</v>
      </c>
      <c r="T134" s="15">
        <v>1246</v>
      </c>
      <c r="U134" s="15">
        <v>207.3</v>
      </c>
      <c r="V134" s="15">
        <f>((T134*R133)-(U134*Q134))/R134</f>
        <v>1860.4807186678354</v>
      </c>
      <c r="W134" s="15">
        <f>(1-U134/T134)*100</f>
        <v>83.362760834670951</v>
      </c>
      <c r="X134" s="30">
        <f>AVERAGE(L134,S134)</f>
        <v>46.311475409836063</v>
      </c>
      <c r="Y134" s="30">
        <f>STDEV(L134,S134)</f>
        <v>0.28979786114202283</v>
      </c>
      <c r="Z134" s="30">
        <f>AVERAGE(P134,W134)</f>
        <v>83.161489935776444</v>
      </c>
      <c r="AA134" s="30">
        <f>STDEV(P134,W134)</f>
        <v>0.28464003492763501</v>
      </c>
      <c r="AB134" s="30">
        <f>L134/L131</f>
        <v>1.4012345679012344</v>
      </c>
      <c r="AC134" s="30">
        <f>S134/S131</f>
        <v>1.3975155279503109</v>
      </c>
      <c r="AD134" s="30">
        <f>X134/X131</f>
        <v>1.3993808049535603</v>
      </c>
      <c r="AE134" s="30">
        <f>STDEV(AB134,AC134)</f>
        <v>2.6297583688016822E-3</v>
      </c>
      <c r="AF134" s="30">
        <f>P134/P131</f>
        <v>0.83885137223591011</v>
      </c>
      <c r="AG134" s="30">
        <f>W134/W131</f>
        <v>0.84117717703846551</v>
      </c>
      <c r="AH134" s="30">
        <f>Z134/Z131</f>
        <v>0.84001547924242415</v>
      </c>
      <c r="AI134" s="30">
        <f>STDEV(AF134,AG134)</f>
        <v>1.6445923476031612E-3</v>
      </c>
    </row>
    <row r="135" spans="1:35" x14ac:dyDescent="0.2">
      <c r="A135" s="15" t="s">
        <v>0</v>
      </c>
      <c r="B135" s="15">
        <v>30</v>
      </c>
      <c r="C135" s="15">
        <v>7</v>
      </c>
      <c r="D135" s="15">
        <v>6000</v>
      </c>
      <c r="E135" s="15">
        <v>24</v>
      </c>
      <c r="F135" s="15" t="s">
        <v>103</v>
      </c>
      <c r="G135" s="15">
        <v>60</v>
      </c>
      <c r="H135" s="15">
        <v>1</v>
      </c>
      <c r="I135" s="15">
        <v>1</v>
      </c>
      <c r="J135" s="15">
        <v>48.7</v>
      </c>
      <c r="K135" s="15">
        <f>$B$3-J135</f>
        <v>201.3</v>
      </c>
      <c r="L135" s="15">
        <f t="shared" si="59"/>
        <v>33.265027322404372</v>
      </c>
      <c r="M135" s="15">
        <v>1000</v>
      </c>
      <c r="N135" s="15">
        <v>15</v>
      </c>
      <c r="O135" s="15">
        <f>((M135*$B$3)-(N135*J135))/K135</f>
        <v>1238.2985593641331</v>
      </c>
      <c r="P135" s="15">
        <f t="shared" ref="P135:P136" si="61">(1-N135/M135)*100</f>
        <v>98.5</v>
      </c>
      <c r="Q135" s="15">
        <v>48.4</v>
      </c>
      <c r="R135" s="15">
        <f>$B$3-Q135</f>
        <v>201.6</v>
      </c>
      <c r="S135" s="15">
        <f t="shared" si="60"/>
        <v>33.060109289617486</v>
      </c>
      <c r="T135" s="15">
        <v>1000</v>
      </c>
      <c r="U135" s="15">
        <v>13</v>
      </c>
      <c r="V135" s="15">
        <f>((T135*$B$3)-(U135*Q135))/R135</f>
        <v>1236.9583333333333</v>
      </c>
      <c r="W135" s="15">
        <f t="shared" ref="W135:W136" si="62">(1-U135/T135)*100</f>
        <v>98.7</v>
      </c>
      <c r="X135" s="30">
        <f>AVERAGE(L135,S135)</f>
        <v>33.162568306010925</v>
      </c>
      <c r="Y135" s="30">
        <f>STDEV(L135,S135)</f>
        <v>0.14489893057101391</v>
      </c>
      <c r="Z135" s="30">
        <f>AVERAGE(P135,W135)</f>
        <v>98.6</v>
      </c>
      <c r="AA135" s="30">
        <f>STDEV(P135,W135)</f>
        <v>0.14142135623731153</v>
      </c>
    </row>
    <row r="136" spans="1:35" x14ac:dyDescent="0.2">
      <c r="A136" s="15" t="s">
        <v>0</v>
      </c>
      <c r="B136" s="15">
        <v>30</v>
      </c>
      <c r="C136" s="15">
        <v>7</v>
      </c>
      <c r="D136" s="15">
        <v>6000</v>
      </c>
      <c r="E136" s="15">
        <v>24</v>
      </c>
      <c r="F136" s="15" t="s">
        <v>103</v>
      </c>
      <c r="G136" s="15">
        <v>120</v>
      </c>
      <c r="H136" s="15">
        <v>2</v>
      </c>
      <c r="I136" s="15">
        <v>1</v>
      </c>
      <c r="J136" s="15">
        <v>48</v>
      </c>
      <c r="K136" s="15">
        <f>K135-J136</f>
        <v>153.30000000000001</v>
      </c>
      <c r="L136" s="15">
        <f t="shared" si="59"/>
        <v>32.786885245901637</v>
      </c>
      <c r="M136" s="15">
        <v>1186.2</v>
      </c>
      <c r="N136" s="15">
        <v>13</v>
      </c>
      <c r="O136" s="15">
        <f>((M136*K135)-(N136*J136))/K136</f>
        <v>1553.5424657534247</v>
      </c>
      <c r="P136" s="15">
        <f t="shared" si="61"/>
        <v>98.904063395717415</v>
      </c>
      <c r="Q136" s="15">
        <v>48.4</v>
      </c>
      <c r="R136" s="15">
        <f>R135-Q136</f>
        <v>153.19999999999999</v>
      </c>
      <c r="S136" s="15">
        <f t="shared" si="60"/>
        <v>33.060109289617486</v>
      </c>
      <c r="T136" s="15">
        <v>1188.5</v>
      </c>
      <c r="U136" s="15">
        <v>8.3000000000000007</v>
      </c>
      <c r="V136" s="15">
        <f>((T136*R135)-(U136*Q136))/R136</f>
        <v>1561.3569190600524</v>
      </c>
      <c r="W136" s="15">
        <f t="shared" si="62"/>
        <v>99.301640723601182</v>
      </c>
      <c r="X136" s="30">
        <f>AVERAGE(L136,S136)</f>
        <v>32.923497267759558</v>
      </c>
      <c r="Y136" s="30">
        <f>STDEV(L136,S136)</f>
        <v>0.19319857409468688</v>
      </c>
      <c r="Z136" s="30">
        <f>AVERAGE(P136,W136)</f>
        <v>99.102852059659298</v>
      </c>
      <c r="AA136" s="30">
        <f>STDEV(P136,W136)</f>
        <v>0.28112962459263868</v>
      </c>
    </row>
    <row r="137" spans="1:35" x14ac:dyDescent="0.2">
      <c r="A137" s="15" t="s">
        <v>0</v>
      </c>
      <c r="B137" s="15">
        <v>30</v>
      </c>
      <c r="C137" s="15">
        <v>7</v>
      </c>
      <c r="D137" s="15">
        <v>6000</v>
      </c>
      <c r="E137" s="15">
        <v>24</v>
      </c>
      <c r="F137" s="15" t="s">
        <v>82</v>
      </c>
      <c r="G137" s="15">
        <v>1440</v>
      </c>
      <c r="H137" s="15">
        <v>24</v>
      </c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35" x14ac:dyDescent="0.2">
      <c r="A138" s="15" t="s">
        <v>0</v>
      </c>
      <c r="B138" s="15">
        <v>30</v>
      </c>
      <c r="C138" s="15">
        <v>7</v>
      </c>
      <c r="D138" s="15">
        <v>6000</v>
      </c>
      <c r="E138" s="15">
        <v>24</v>
      </c>
      <c r="F138" s="15" t="s">
        <v>104</v>
      </c>
      <c r="G138" s="15">
        <v>60</v>
      </c>
      <c r="H138" s="15">
        <v>1</v>
      </c>
      <c r="I138" s="15">
        <v>1</v>
      </c>
      <c r="J138" s="15">
        <v>53.6</v>
      </c>
      <c r="K138" s="15">
        <f>($B$3-J138)</f>
        <v>196.4</v>
      </c>
      <c r="L138" s="15">
        <f>J138/1000/$B$2</f>
        <v>36.612021857923494</v>
      </c>
      <c r="M138" s="15">
        <v>1000</v>
      </c>
      <c r="N138" s="15">
        <v>102.1</v>
      </c>
      <c r="O138" s="15">
        <f>((M138*$B$3)-(N138*J138))/K138</f>
        <v>1245.0480651731161</v>
      </c>
      <c r="P138" s="15">
        <f>(1-N138/M138)*100</f>
        <v>89.79</v>
      </c>
      <c r="Q138" s="15">
        <v>53</v>
      </c>
      <c r="R138" s="15">
        <f>($B$3-Q138)</f>
        <v>197</v>
      </c>
      <c r="S138" s="15">
        <f>Q138/1000/$B$2</f>
        <v>36.202185792349724</v>
      </c>
      <c r="T138" s="15">
        <v>1000</v>
      </c>
      <c r="U138" s="15">
        <v>101.7</v>
      </c>
      <c r="V138" s="15">
        <f>((T138*$B$3)-(U138*Q138))/R138</f>
        <v>1241.6746192893402</v>
      </c>
      <c r="W138" s="15">
        <f>(1-U138/T138)*100</f>
        <v>89.83</v>
      </c>
      <c r="X138" s="30">
        <f>AVERAGE(L138,S138)</f>
        <v>36.407103825136609</v>
      </c>
      <c r="Y138" s="30">
        <f>STDEV(L138,S138)</f>
        <v>0.28979786114202782</v>
      </c>
      <c r="Z138" s="30">
        <f>AVERAGE(P138,W138)</f>
        <v>89.81</v>
      </c>
      <c r="AA138" s="30">
        <f>STDEV(P138,W138)</f>
        <v>2.8284271247456274E-2</v>
      </c>
    </row>
    <row r="139" spans="1:35" x14ac:dyDescent="0.2">
      <c r="A139" s="15" t="s">
        <v>0</v>
      </c>
      <c r="B139" s="15">
        <v>30</v>
      </c>
      <c r="C139" s="15">
        <v>7</v>
      </c>
      <c r="D139" s="15">
        <v>6000</v>
      </c>
      <c r="E139" s="15">
        <v>24</v>
      </c>
      <c r="F139" s="15" t="s">
        <v>104</v>
      </c>
      <c r="G139" s="15">
        <v>120</v>
      </c>
      <c r="H139" s="15">
        <v>2</v>
      </c>
      <c r="I139" s="15">
        <v>1</v>
      </c>
      <c r="J139" s="15">
        <v>52.8</v>
      </c>
      <c r="K139" s="15">
        <f>K138-J139</f>
        <v>143.60000000000002</v>
      </c>
      <c r="L139" s="15">
        <f>J139/1000/$B$2</f>
        <v>36.065573770491802</v>
      </c>
      <c r="M139" s="15">
        <v>1190.5999999999999</v>
      </c>
      <c r="N139" s="15">
        <v>131.1</v>
      </c>
      <c r="O139" s="15">
        <f>((M139*K138)-(N139*J139))/K139</f>
        <v>1580.1654596100277</v>
      </c>
      <c r="P139" s="15">
        <f>(1-N139/M139)*100</f>
        <v>88.98874517050227</v>
      </c>
      <c r="Q139" s="15">
        <v>53.2</v>
      </c>
      <c r="R139" s="15">
        <f>R138-Q139</f>
        <v>143.80000000000001</v>
      </c>
      <c r="S139" s="15">
        <f>Q139/1000/$B$2</f>
        <v>36.338797814207652</v>
      </c>
      <c r="T139" s="15">
        <v>1193.4000000000001</v>
      </c>
      <c r="U139" s="15">
        <v>126.6</v>
      </c>
      <c r="V139" s="15">
        <f>((T139*R138)-(U139*Q139))/R139</f>
        <v>1588.071488178025</v>
      </c>
      <c r="W139" s="15">
        <f>(1-U139/T139)*100</f>
        <v>89.39165409753646</v>
      </c>
      <c r="X139" s="30">
        <f>AVERAGE(L139,S139)</f>
        <v>36.202185792349724</v>
      </c>
      <c r="Y139" s="30">
        <f>STDEV(L139,S139)</f>
        <v>0.19319857409468688</v>
      </c>
      <c r="Z139" s="30">
        <f>AVERAGE(P139,W139)</f>
        <v>89.190199634019365</v>
      </c>
      <c r="AA139" s="30">
        <f>STDEV(P139,W139)</f>
        <v>0.28489963450647154</v>
      </c>
      <c r="AB139" s="30">
        <f>L139/L136</f>
        <v>1.1000000000000001</v>
      </c>
      <c r="AC139" s="30">
        <f>S139/S136</f>
        <v>1.0991735537190084</v>
      </c>
      <c r="AD139" s="30">
        <f>X139/X136</f>
        <v>1.099585062240664</v>
      </c>
      <c r="AE139" s="30">
        <f>STDEV(AB139,AC139)</f>
        <v>5.8438576957564148E-4</v>
      </c>
      <c r="AF139" s="30">
        <f>P139/P136</f>
        <v>0.89974812070618648</v>
      </c>
      <c r="AG139" s="30">
        <f>W139/W136</f>
        <v>0.90020319348349498</v>
      </c>
      <c r="AH139" s="30">
        <f>Z139/Z136</f>
        <v>0.89997611350607165</v>
      </c>
      <c r="AI139" s="30">
        <f>STDEV(AF139,AG139)</f>
        <v>3.2178504676823327E-4</v>
      </c>
    </row>
    <row r="140" spans="1:35" x14ac:dyDescent="0.2">
      <c r="A140" s="39" t="s">
        <v>106</v>
      </c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</row>
    <row r="141" spans="1:35" ht="32" x14ac:dyDescent="0.2">
      <c r="A141" s="29" t="s">
        <v>19</v>
      </c>
      <c r="B141" s="29" t="s">
        <v>26</v>
      </c>
      <c r="C141" s="29" t="s">
        <v>8</v>
      </c>
      <c r="D141" s="29" t="s">
        <v>74</v>
      </c>
      <c r="E141" s="29" t="s">
        <v>75</v>
      </c>
      <c r="F141" s="29" t="s">
        <v>86</v>
      </c>
      <c r="G141" s="29" t="s">
        <v>28</v>
      </c>
      <c r="H141" s="29" t="s">
        <v>4</v>
      </c>
      <c r="I141" s="29" t="s">
        <v>29</v>
      </c>
      <c r="J141" s="29" t="s">
        <v>87</v>
      </c>
      <c r="K141" s="29" t="s">
        <v>88</v>
      </c>
      <c r="L141" s="29" t="s">
        <v>89</v>
      </c>
      <c r="M141" s="29" t="s">
        <v>90</v>
      </c>
      <c r="N141" s="29" t="s">
        <v>91</v>
      </c>
      <c r="O141" s="29" t="s">
        <v>92</v>
      </c>
      <c r="P141" s="29" t="s">
        <v>93</v>
      </c>
      <c r="Q141" s="29" t="s">
        <v>94</v>
      </c>
      <c r="R141" s="29" t="s">
        <v>95</v>
      </c>
      <c r="S141" s="29" t="s">
        <v>96</v>
      </c>
      <c r="T141" s="29" t="s">
        <v>97</v>
      </c>
      <c r="U141" s="29" t="s">
        <v>98</v>
      </c>
      <c r="V141" s="29" t="s">
        <v>99</v>
      </c>
      <c r="W141" s="29" t="s">
        <v>100</v>
      </c>
      <c r="X141" s="44" t="s">
        <v>36</v>
      </c>
      <c r="Y141" s="44" t="s">
        <v>37</v>
      </c>
      <c r="Z141" s="44" t="s">
        <v>101</v>
      </c>
      <c r="AA141" s="44" t="s">
        <v>102</v>
      </c>
      <c r="AB141" s="44"/>
      <c r="AC141" s="44"/>
      <c r="AD141" s="31"/>
      <c r="AE141" s="31"/>
      <c r="AF141" s="31"/>
      <c r="AG141" s="31"/>
      <c r="AH141" s="31"/>
      <c r="AI141" s="31"/>
    </row>
    <row r="142" spans="1:35" x14ac:dyDescent="0.2">
      <c r="A142" s="38" t="s">
        <v>76</v>
      </c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35" x14ac:dyDescent="0.2">
      <c r="A143" s="15" t="s">
        <v>5</v>
      </c>
      <c r="B143" s="15">
        <v>12</v>
      </c>
      <c r="C143" s="15">
        <v>10</v>
      </c>
      <c r="D143" s="15">
        <v>0</v>
      </c>
      <c r="E143" s="15">
        <v>0</v>
      </c>
      <c r="F143" s="15" t="s">
        <v>103</v>
      </c>
      <c r="G143" s="15">
        <v>60</v>
      </c>
      <c r="H143" s="15">
        <v>1</v>
      </c>
      <c r="I143" s="15">
        <v>1</v>
      </c>
      <c r="J143" s="15">
        <v>48</v>
      </c>
      <c r="K143" s="15">
        <f>($B$3-J143)</f>
        <v>202</v>
      </c>
      <c r="L143" s="15">
        <f>J143/1000/$B$2</f>
        <v>32.786885245901637</v>
      </c>
      <c r="M143" s="15">
        <v>1000</v>
      </c>
      <c r="N143" s="15">
        <v>17</v>
      </c>
      <c r="O143" s="15">
        <f>((M143*$B$3)-(N143*J143))/K143</f>
        <v>1233.5841584158416</v>
      </c>
      <c r="P143" s="15">
        <f>(1-N143/M143)*100</f>
        <v>98.3</v>
      </c>
      <c r="Q143" s="15">
        <v>48.6</v>
      </c>
      <c r="R143" s="15">
        <f>($B$3-Q143)</f>
        <v>201.4</v>
      </c>
      <c r="S143" s="15">
        <f>Q143/1000/$B$2</f>
        <v>33.196721311475414</v>
      </c>
      <c r="T143" s="15">
        <v>1000</v>
      </c>
      <c r="U143" s="15">
        <v>13</v>
      </c>
      <c r="V143" s="15">
        <f>((T143*$B$3)-(U143*Q143))/R143</f>
        <v>1238.1737835153922</v>
      </c>
      <c r="W143" s="15">
        <f>(1-U143/T143)*100</f>
        <v>98.7</v>
      </c>
      <c r="X143" s="30">
        <f>AVERAGE(L143,S143)</f>
        <v>32.991803278688522</v>
      </c>
      <c r="Y143" s="30">
        <f>STDEV(L143,S143)</f>
        <v>0.28979786114203288</v>
      </c>
      <c r="Z143" s="30">
        <f>AVERAGE(P143,W143)</f>
        <v>98.5</v>
      </c>
      <c r="AA143" s="30">
        <f>STDEV(P143,W143)</f>
        <v>0.28284271247462306</v>
      </c>
    </row>
    <row r="144" spans="1:35" x14ac:dyDescent="0.2">
      <c r="A144" s="15" t="s">
        <v>5</v>
      </c>
      <c r="B144" s="15">
        <v>12</v>
      </c>
      <c r="C144" s="15">
        <v>10</v>
      </c>
      <c r="D144" s="15">
        <v>0</v>
      </c>
      <c r="E144" s="15">
        <v>0</v>
      </c>
      <c r="F144" s="15" t="s">
        <v>103</v>
      </c>
      <c r="G144" s="15">
        <v>120</v>
      </c>
      <c r="H144" s="15">
        <v>2</v>
      </c>
      <c r="I144" s="15">
        <v>1</v>
      </c>
      <c r="J144" s="15">
        <v>48.2</v>
      </c>
      <c r="K144" s="15">
        <f>K143-J144</f>
        <v>153.80000000000001</v>
      </c>
      <c r="L144" s="15">
        <f>J144/1000/$B$2</f>
        <v>32.923497267759565</v>
      </c>
      <c r="M144" s="15">
        <v>1183.7</v>
      </c>
      <c r="N144" s="15">
        <v>27.2</v>
      </c>
      <c r="O144" s="15">
        <f>((M144*K143)-(N144*J144))/K144</f>
        <v>1546.1401820546164</v>
      </c>
      <c r="P144" s="15">
        <f>(1-N144/M144)*100</f>
        <v>97.702120469713606</v>
      </c>
      <c r="Q144" s="15">
        <v>47.9</v>
      </c>
      <c r="R144" s="15">
        <f>R143-Q144</f>
        <v>153.5</v>
      </c>
      <c r="S144" s="15">
        <f>Q144/1000/$B$2</f>
        <v>32.718579234972673</v>
      </c>
      <c r="T144" s="15">
        <v>1186.9000000000001</v>
      </c>
      <c r="U144" s="15">
        <v>24.9</v>
      </c>
      <c r="V144" s="15">
        <f>((T144*R143)-(U144*Q144))/R144</f>
        <v>1549.5045602605867</v>
      </c>
      <c r="W144" s="15">
        <f>(1-U144/T144)*100</f>
        <v>97.902097902097907</v>
      </c>
      <c r="X144" s="30">
        <f>AVERAGE(L144,S144)</f>
        <v>32.821038251366119</v>
      </c>
      <c r="Y144" s="30">
        <f>STDEV(L144,S144)</f>
        <v>0.14489893057101894</v>
      </c>
      <c r="Z144" s="30">
        <f>AVERAGE(P144,W144)</f>
        <v>97.802109185905749</v>
      </c>
      <c r="AA144" s="30">
        <f>STDEV(P144,W144)</f>
        <v>0.14140539852321377</v>
      </c>
    </row>
    <row r="145" spans="1:35" x14ac:dyDescent="0.2">
      <c r="A145" s="15" t="s">
        <v>5</v>
      </c>
      <c r="B145" s="15">
        <v>12</v>
      </c>
      <c r="C145" s="15">
        <v>10</v>
      </c>
      <c r="D145" s="15">
        <v>0</v>
      </c>
      <c r="E145" s="15">
        <v>0</v>
      </c>
      <c r="F145" s="15" t="s">
        <v>77</v>
      </c>
      <c r="G145" s="15">
        <v>0</v>
      </c>
      <c r="H145" s="15">
        <v>0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35" x14ac:dyDescent="0.2">
      <c r="A146" s="15" t="s">
        <v>5</v>
      </c>
      <c r="B146" s="15">
        <v>12</v>
      </c>
      <c r="C146" s="15">
        <v>10</v>
      </c>
      <c r="D146" s="15">
        <v>0</v>
      </c>
      <c r="E146" s="15">
        <v>0</v>
      </c>
      <c r="F146" s="15" t="s">
        <v>104</v>
      </c>
      <c r="G146" s="15">
        <v>60</v>
      </c>
      <c r="H146" s="15">
        <v>1</v>
      </c>
      <c r="I146" s="15">
        <v>1</v>
      </c>
      <c r="J146" s="15">
        <v>48</v>
      </c>
      <c r="K146" s="15">
        <f>$B$3-J146</f>
        <v>202</v>
      </c>
      <c r="L146" s="15">
        <f>J146/1000/$B$2</f>
        <v>32.786885245901637</v>
      </c>
      <c r="M146" s="15">
        <v>1000</v>
      </c>
      <c r="N146" s="15">
        <v>20</v>
      </c>
      <c r="O146" s="15">
        <f>((M146*$B$3)-(N146*J146))/K146</f>
        <v>1232.8712871287128</v>
      </c>
      <c r="P146" s="15">
        <f>(1-N146/M146)*100</f>
        <v>98</v>
      </c>
      <c r="Q146" s="15">
        <v>48.5</v>
      </c>
      <c r="R146" s="15">
        <f>$B$3-Q146</f>
        <v>201.5</v>
      </c>
      <c r="S146" s="15">
        <f>Q146/1000/$B$2</f>
        <v>33.12841530054645</v>
      </c>
      <c r="T146" s="15">
        <v>1000</v>
      </c>
      <c r="U146" s="15">
        <v>14</v>
      </c>
      <c r="V146" s="15">
        <f>((T146*$B$3)-(U146*Q146))/R146</f>
        <v>1237.3250620347394</v>
      </c>
      <c r="W146" s="15">
        <f>(1-U146/T146)*100</f>
        <v>98.6</v>
      </c>
      <c r="X146" s="30">
        <f>AVERAGE(L146,S146)</f>
        <v>32.957650273224047</v>
      </c>
      <c r="Y146" s="30">
        <f>STDEV(L146,S146)</f>
        <v>0.24149821761835988</v>
      </c>
      <c r="Z146" s="30">
        <f>AVERAGE(P146,W146)</f>
        <v>98.3</v>
      </c>
      <c r="AA146" s="30">
        <f>STDEV(P146,W146)</f>
        <v>0.42426406871192446</v>
      </c>
    </row>
    <row r="147" spans="1:35" x14ac:dyDescent="0.2">
      <c r="A147" s="15" t="s">
        <v>5</v>
      </c>
      <c r="B147" s="15">
        <v>12</v>
      </c>
      <c r="C147" s="15">
        <v>10</v>
      </c>
      <c r="D147" s="15">
        <v>0</v>
      </c>
      <c r="E147" s="15">
        <v>0</v>
      </c>
      <c r="F147" s="15" t="s">
        <v>104</v>
      </c>
      <c r="G147" s="15">
        <v>120</v>
      </c>
      <c r="H147" s="15">
        <v>2</v>
      </c>
      <c r="I147" s="15">
        <v>1</v>
      </c>
      <c r="J147" s="15">
        <v>48.3</v>
      </c>
      <c r="K147" s="15">
        <f>K146-J147</f>
        <v>153.69999999999999</v>
      </c>
      <c r="L147" s="15">
        <f t="shared" ref="L147:L149" si="63">J147/1000/$B$2</f>
        <v>32.991803278688522</v>
      </c>
      <c r="M147" s="15">
        <v>1184</v>
      </c>
      <c r="N147" s="15">
        <v>28.4</v>
      </c>
      <c r="O147" s="15">
        <f>((M147*K146)-(N147*J147))/K147</f>
        <v>1547.1456083279115</v>
      </c>
      <c r="P147" s="15">
        <f>(1-N147/M147)*100</f>
        <v>97.601351351351354</v>
      </c>
      <c r="Q147" s="15">
        <v>47.7</v>
      </c>
      <c r="R147" s="15">
        <f>R146-Q147</f>
        <v>153.80000000000001</v>
      </c>
      <c r="S147" s="15">
        <f t="shared" ref="S147:S149" si="64">Q147/1000/$B$2</f>
        <v>32.581967213114758</v>
      </c>
      <c r="T147" s="15">
        <v>1187.0999999999999</v>
      </c>
      <c r="U147" s="15">
        <v>23.7</v>
      </c>
      <c r="V147" s="15">
        <f>((T147*R146)-(U147*Q147))/R147</f>
        <v>1547.9204161248374</v>
      </c>
      <c r="W147" s="15">
        <f>(1-U147/T147)*100</f>
        <v>98.003538033864032</v>
      </c>
      <c r="X147" s="30">
        <f>AVERAGE(L147,S147)</f>
        <v>32.786885245901644</v>
      </c>
      <c r="Y147" s="30">
        <f>STDEV(L147,S147)</f>
        <v>0.28979786114202283</v>
      </c>
      <c r="Z147" s="30">
        <f>AVERAGE(P147,W147)</f>
        <v>97.802444692607693</v>
      </c>
      <c r="AA147" s="30">
        <f>STDEV(P147,W147)</f>
        <v>0.28438893050763558</v>
      </c>
      <c r="AB147" s="30">
        <f>L147/L144</f>
        <v>1.0020746887966803</v>
      </c>
      <c r="AC147" s="30">
        <f>S147/S144</f>
        <v>0.99582463465553261</v>
      </c>
      <c r="AD147" s="30">
        <f>X147/X144</f>
        <v>0.99895941727367343</v>
      </c>
      <c r="AE147" s="30">
        <f>STDEV(AB147,AC147)</f>
        <v>4.4194556659885691E-3</v>
      </c>
      <c r="AF147" s="30">
        <f>P147/P144</f>
        <v>0.99896860868650761</v>
      </c>
      <c r="AG147" s="30">
        <f>W147/W144</f>
        <v>1.0010361384887541</v>
      </c>
      <c r="AH147" s="30">
        <f>Z147/Z144</f>
        <v>1.0000034304648922</v>
      </c>
      <c r="AI147" s="30">
        <f>STDEV(AF147,AG147)</f>
        <v>1.4619643434737452E-3</v>
      </c>
    </row>
    <row r="148" spans="1:35" x14ac:dyDescent="0.2">
      <c r="A148" s="15" t="s">
        <v>1</v>
      </c>
      <c r="B148" s="15">
        <v>30</v>
      </c>
      <c r="C148" s="15">
        <v>10</v>
      </c>
      <c r="D148" s="15">
        <v>0</v>
      </c>
      <c r="E148" s="15">
        <v>0</v>
      </c>
      <c r="F148" s="15" t="s">
        <v>103</v>
      </c>
      <c r="G148" s="15">
        <v>60</v>
      </c>
      <c r="H148" s="15">
        <v>1</v>
      </c>
      <c r="I148" s="15">
        <v>1</v>
      </c>
      <c r="J148" s="15">
        <v>49</v>
      </c>
      <c r="K148" s="15">
        <f>$B$3-J148</f>
        <v>201</v>
      </c>
      <c r="L148" s="15">
        <f t="shared" si="63"/>
        <v>33.469945355191257</v>
      </c>
      <c r="M148" s="15">
        <v>1000</v>
      </c>
      <c r="N148" s="15">
        <v>18</v>
      </c>
      <c r="O148" s="15">
        <f>((M148*$B$3)-(N148*J148))/K148</f>
        <v>1239.3930348258707</v>
      </c>
      <c r="P148" s="15">
        <f t="shared" ref="P148:P149" si="65">(1-N148/M148)*100</f>
        <v>98.2</v>
      </c>
      <c r="Q148" s="15">
        <v>48.7</v>
      </c>
      <c r="R148" s="15">
        <f>$B$3-Q148</f>
        <v>201.3</v>
      </c>
      <c r="S148" s="15">
        <f t="shared" si="64"/>
        <v>33.265027322404372</v>
      </c>
      <c r="T148" s="15">
        <v>1000</v>
      </c>
      <c r="U148" s="15">
        <v>10</v>
      </c>
      <c r="V148" s="15">
        <f>((T148*$B$3)-(U148*Q148))/R148</f>
        <v>1239.5081967213114</v>
      </c>
      <c r="W148" s="15">
        <f t="shared" ref="W148:W149" si="66">(1-U148/T148)*100</f>
        <v>99</v>
      </c>
      <c r="X148" s="30">
        <f>AVERAGE(L148,S148)</f>
        <v>33.367486338797818</v>
      </c>
      <c r="Y148" s="30">
        <f>STDEV(L148,S148)</f>
        <v>0.14489893057101391</v>
      </c>
      <c r="Z148" s="30">
        <f>AVERAGE(P148,W148)</f>
        <v>98.6</v>
      </c>
      <c r="AA148" s="30">
        <f>STDEV(P148,W148)</f>
        <v>0.56568542494923602</v>
      </c>
    </row>
    <row r="149" spans="1:35" x14ac:dyDescent="0.2">
      <c r="A149" s="15" t="s">
        <v>1</v>
      </c>
      <c r="B149" s="15">
        <v>30</v>
      </c>
      <c r="C149" s="15">
        <v>10</v>
      </c>
      <c r="D149" s="15">
        <v>0</v>
      </c>
      <c r="E149" s="15">
        <v>0</v>
      </c>
      <c r="F149" s="15" t="s">
        <v>103</v>
      </c>
      <c r="G149" s="15">
        <v>120</v>
      </c>
      <c r="H149" s="15">
        <v>2</v>
      </c>
      <c r="I149" s="15">
        <v>1</v>
      </c>
      <c r="J149" s="15">
        <v>48.3</v>
      </c>
      <c r="K149" s="15">
        <f>K148-J149</f>
        <v>152.69999999999999</v>
      </c>
      <c r="L149" s="15">
        <f t="shared" si="63"/>
        <v>32.991803278688522</v>
      </c>
      <c r="M149" s="15">
        <v>1186.3</v>
      </c>
      <c r="N149" s="15">
        <v>11.9</v>
      </c>
      <c r="O149" s="15">
        <f>((M149*K148)-(N149*J149))/K149</f>
        <v>1557.7703339882123</v>
      </c>
      <c r="P149" s="15">
        <f t="shared" si="65"/>
        <v>98.996881058754099</v>
      </c>
      <c r="Q149" s="15">
        <v>48.6</v>
      </c>
      <c r="R149" s="15">
        <f>R148-Q149</f>
        <v>152.70000000000002</v>
      </c>
      <c r="S149" s="15">
        <f t="shared" si="64"/>
        <v>33.196721311475414</v>
      </c>
      <c r="T149" s="15">
        <v>1190.7</v>
      </c>
      <c r="U149" s="15">
        <v>7.1</v>
      </c>
      <c r="V149" s="15">
        <f>((T149*R148)-(U149*Q149))/R149</f>
        <v>1567.4056974459725</v>
      </c>
      <c r="W149" s="15">
        <f t="shared" si="66"/>
        <v>99.4037121021248</v>
      </c>
      <c r="X149" s="30">
        <f>AVERAGE(L149,S149)</f>
        <v>33.094262295081968</v>
      </c>
      <c r="Y149" s="30">
        <f>STDEV(L149,S149)</f>
        <v>0.14489893057101894</v>
      </c>
      <c r="Z149" s="30">
        <f>AVERAGE(P149,W149)</f>
        <v>99.200296580439442</v>
      </c>
      <c r="AA149" s="30">
        <f>STDEV(P149,W149)</f>
        <v>0.28767298956462123</v>
      </c>
    </row>
    <row r="150" spans="1:35" x14ac:dyDescent="0.2">
      <c r="A150" s="15" t="s">
        <v>1</v>
      </c>
      <c r="B150" s="15">
        <v>30</v>
      </c>
      <c r="C150" s="15">
        <v>10</v>
      </c>
      <c r="D150" s="15">
        <v>0</v>
      </c>
      <c r="E150" s="15">
        <v>0</v>
      </c>
      <c r="F150" s="15" t="s">
        <v>77</v>
      </c>
      <c r="G150" s="15">
        <v>0</v>
      </c>
      <c r="H150" s="15">
        <v>0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35" x14ac:dyDescent="0.2">
      <c r="A151" s="15" t="s">
        <v>1</v>
      </c>
      <c r="B151" s="15">
        <v>30</v>
      </c>
      <c r="C151" s="15">
        <v>10</v>
      </c>
      <c r="D151" s="15">
        <v>0</v>
      </c>
      <c r="E151" s="15">
        <v>0</v>
      </c>
      <c r="F151" s="15" t="s">
        <v>104</v>
      </c>
      <c r="G151" s="15">
        <v>60</v>
      </c>
      <c r="H151" s="15">
        <v>1</v>
      </c>
      <c r="I151" s="15">
        <v>1</v>
      </c>
      <c r="J151" s="15">
        <v>49</v>
      </c>
      <c r="K151" s="15">
        <f>$B$3-J151</f>
        <v>201</v>
      </c>
      <c r="L151" s="15">
        <f>J151/1000/$B$2</f>
        <v>33.469945355191257</v>
      </c>
      <c r="M151" s="15">
        <v>1000</v>
      </c>
      <c r="N151" s="15">
        <v>16</v>
      </c>
      <c r="O151" s="15">
        <f>((M151*$B$3)-(N151*J151))/K151</f>
        <v>1239.8805970149253</v>
      </c>
      <c r="P151" s="15">
        <f>(1-N151/M151)*100</f>
        <v>98.4</v>
      </c>
      <c r="Q151" s="15">
        <v>48.5</v>
      </c>
      <c r="R151" s="15">
        <f>$B$3-Q151</f>
        <v>201.5</v>
      </c>
      <c r="S151" s="15">
        <f>Q151/1000/$B$2</f>
        <v>33.12841530054645</v>
      </c>
      <c r="T151" s="15">
        <v>1000</v>
      </c>
      <c r="U151" s="15">
        <v>14</v>
      </c>
      <c r="V151" s="15">
        <f>((T151*$B$3)-(U151*Q151))/R151</f>
        <v>1237.3250620347394</v>
      </c>
      <c r="W151" s="15">
        <f>(1-U151/T151)*100</f>
        <v>98.6</v>
      </c>
      <c r="X151" s="30">
        <f>AVERAGE(L151,S151)</f>
        <v>33.299180327868854</v>
      </c>
      <c r="Y151" s="30">
        <f>STDEV(L151,S151)</f>
        <v>0.24149821761835485</v>
      </c>
      <c r="Z151" s="30">
        <f>AVERAGE(P151,W151)</f>
        <v>98.5</v>
      </c>
      <c r="AA151" s="30">
        <f>STDEV(P151,W151)</f>
        <v>0.14142135623730148</v>
      </c>
    </row>
    <row r="152" spans="1:35" x14ac:dyDescent="0.2">
      <c r="A152" s="15" t="s">
        <v>1</v>
      </c>
      <c r="B152" s="15">
        <v>30</v>
      </c>
      <c r="C152" s="15">
        <v>10</v>
      </c>
      <c r="D152" s="15">
        <v>0</v>
      </c>
      <c r="E152" s="15">
        <v>0</v>
      </c>
      <c r="F152" s="15" t="s">
        <v>104</v>
      </c>
      <c r="G152" s="15">
        <v>120</v>
      </c>
      <c r="H152" s="15">
        <v>2</v>
      </c>
      <c r="I152" s="15">
        <v>1</v>
      </c>
      <c r="J152" s="15">
        <v>48.3</v>
      </c>
      <c r="K152" s="15">
        <f>K151-J152</f>
        <v>152.69999999999999</v>
      </c>
      <c r="L152" s="15">
        <f t="shared" ref="L152:L154" si="67">J152/1000/$B$2</f>
        <v>32.991803278688522</v>
      </c>
      <c r="M152" s="15">
        <v>1185.5999999999999</v>
      </c>
      <c r="N152" s="15">
        <v>11.9</v>
      </c>
      <c r="O152" s="15">
        <f>((M152*K151)-(N152*J152))/K152</f>
        <v>1556.8489194499018</v>
      </c>
      <c r="P152" s="15">
        <f>(1-N152/M152)*100</f>
        <v>98.996288798920375</v>
      </c>
      <c r="Q152" s="15">
        <v>48.6</v>
      </c>
      <c r="R152" s="15">
        <f>R151-Q152</f>
        <v>152.9</v>
      </c>
      <c r="S152" s="15">
        <f t="shared" ref="S152:S154" si="68">Q152/1000/$B$2</f>
        <v>33.196721311475414</v>
      </c>
      <c r="T152" s="15">
        <v>1188.4000000000001</v>
      </c>
      <c r="U152" s="15">
        <v>7.1</v>
      </c>
      <c r="V152" s="15">
        <f>((T152*R151)-(U152*Q152))/R152</f>
        <v>1563.8818835840418</v>
      </c>
      <c r="W152" s="15">
        <f>(1-U152/T152)*100</f>
        <v>99.402558061258844</v>
      </c>
      <c r="X152" s="30">
        <f>AVERAGE(L152,S152)</f>
        <v>33.094262295081968</v>
      </c>
      <c r="Y152" s="30">
        <f>STDEV(L152,S152)</f>
        <v>0.14489893057101894</v>
      </c>
      <c r="Z152" s="30">
        <f>AVERAGE(P152,W152)</f>
        <v>99.19942343008961</v>
      </c>
      <c r="AA152" s="30">
        <f>STDEV(P152,W152)</f>
        <v>0.287275750387188</v>
      </c>
      <c r="AB152" s="30">
        <f>L152/L149</f>
        <v>1</v>
      </c>
      <c r="AC152" s="30">
        <f>S152/S149</f>
        <v>1</v>
      </c>
      <c r="AD152" s="30">
        <f>X152/X149</f>
        <v>1</v>
      </c>
      <c r="AE152" s="30">
        <f>STDEV(AB152,AC152)</f>
        <v>0</v>
      </c>
      <c r="AF152" s="30">
        <f>P152/P149</f>
        <v>0.99999401738895821</v>
      </c>
      <c r="AG152" s="30">
        <f>W152/W149</f>
        <v>0.99998839036448894</v>
      </c>
      <c r="AH152" s="30">
        <f>Z152/Z149</f>
        <v>0.99999119810746606</v>
      </c>
      <c r="AI152" s="30">
        <f>STDEV(AF152,AG152)</f>
        <v>3.9789071601220319E-6</v>
      </c>
    </row>
    <row r="153" spans="1:35" x14ac:dyDescent="0.2">
      <c r="A153" s="15" t="s">
        <v>0</v>
      </c>
      <c r="B153" s="15">
        <v>30</v>
      </c>
      <c r="C153" s="15">
        <v>10</v>
      </c>
      <c r="D153" s="15">
        <v>0</v>
      </c>
      <c r="E153" s="15">
        <v>0</v>
      </c>
      <c r="F153" s="15" t="s">
        <v>103</v>
      </c>
      <c r="G153" s="15">
        <v>60</v>
      </c>
      <c r="H153" s="15">
        <v>1</v>
      </c>
      <c r="I153" s="15">
        <v>1</v>
      </c>
      <c r="J153" s="15">
        <v>48.2</v>
      </c>
      <c r="K153" s="15">
        <f>$B$3-J153</f>
        <v>201.8</v>
      </c>
      <c r="L153" s="15">
        <f t="shared" si="67"/>
        <v>32.923497267759565</v>
      </c>
      <c r="M153" s="15">
        <v>1000</v>
      </c>
      <c r="N153" s="15">
        <v>14</v>
      </c>
      <c r="O153" s="15">
        <f>((M153*$B$3)-(N153*J153))/K153</f>
        <v>1235.5064420218037</v>
      </c>
      <c r="P153" s="15">
        <f t="shared" ref="P153:P154" si="69">(1-N153/M153)*100</f>
        <v>98.6</v>
      </c>
      <c r="Q153" s="15">
        <v>48.5</v>
      </c>
      <c r="R153" s="15">
        <f>$B$3-Q153</f>
        <v>201.5</v>
      </c>
      <c r="S153" s="15">
        <f t="shared" si="68"/>
        <v>33.12841530054645</v>
      </c>
      <c r="T153" s="15">
        <v>1000</v>
      </c>
      <c r="U153" s="15">
        <v>14</v>
      </c>
      <c r="V153" s="15">
        <f>((T153*$B$3)-(U153*Q153))/R153</f>
        <v>1237.3250620347394</v>
      </c>
      <c r="W153" s="15">
        <f t="shared" ref="W153:W154" si="70">(1-U153/T153)*100</f>
        <v>98.6</v>
      </c>
      <c r="X153" s="30">
        <f>AVERAGE(L153,S153)</f>
        <v>33.025956284153011</v>
      </c>
      <c r="Y153" s="30">
        <f>STDEV(L153,S153)</f>
        <v>0.14489893057101391</v>
      </c>
      <c r="Z153" s="30">
        <f>AVERAGE(P153,W153)</f>
        <v>98.6</v>
      </c>
      <c r="AA153" s="30">
        <f>STDEV(P153,W153)</f>
        <v>0</v>
      </c>
    </row>
    <row r="154" spans="1:35" x14ac:dyDescent="0.2">
      <c r="A154" s="15" t="s">
        <v>0</v>
      </c>
      <c r="B154" s="15">
        <v>30</v>
      </c>
      <c r="C154" s="15">
        <v>10</v>
      </c>
      <c r="D154" s="15">
        <v>0</v>
      </c>
      <c r="E154" s="15">
        <v>0</v>
      </c>
      <c r="F154" s="15" t="s">
        <v>103</v>
      </c>
      <c r="G154" s="15">
        <v>120</v>
      </c>
      <c r="H154" s="15">
        <v>2</v>
      </c>
      <c r="I154" s="15">
        <v>1</v>
      </c>
      <c r="J154" s="15">
        <v>48.4</v>
      </c>
      <c r="K154" s="15">
        <f>K153-J154</f>
        <v>153.4</v>
      </c>
      <c r="L154" s="15">
        <f t="shared" si="67"/>
        <v>33.060109289617486</v>
      </c>
      <c r="M154" s="15">
        <v>1187.7</v>
      </c>
      <c r="N154" s="15">
        <v>11.9</v>
      </c>
      <c r="O154" s="15">
        <f>((M154*K153)-(N154*J154))/K154</f>
        <v>1558.6825293350719</v>
      </c>
      <c r="P154" s="15">
        <f t="shared" si="69"/>
        <v>98.998063484044792</v>
      </c>
      <c r="Q154" s="15">
        <v>47.9</v>
      </c>
      <c r="R154" s="15">
        <f>R153-Q154</f>
        <v>153.6</v>
      </c>
      <c r="S154" s="15">
        <f t="shared" si="68"/>
        <v>32.718579234972673</v>
      </c>
      <c r="T154" s="15">
        <v>1189.5999999999999</v>
      </c>
      <c r="U154" s="15">
        <v>9.5</v>
      </c>
      <c r="V154" s="15">
        <f>((T154*R153)-(U154*Q154))/R154</f>
        <v>1557.6129557291667</v>
      </c>
      <c r="W154" s="15">
        <f t="shared" si="70"/>
        <v>99.201412239408199</v>
      </c>
      <c r="X154" s="30">
        <f>AVERAGE(L154,S154)</f>
        <v>32.889344262295083</v>
      </c>
      <c r="Y154" s="30">
        <f>STDEV(L154,S154)</f>
        <v>0.24149821761835988</v>
      </c>
      <c r="Z154" s="30">
        <f>AVERAGE(P154,W154)</f>
        <v>99.099737861726496</v>
      </c>
      <c r="AA154" s="30">
        <f>STDEV(P154,W154)</f>
        <v>0.14378928386330975</v>
      </c>
    </row>
    <row r="155" spans="1:35" x14ac:dyDescent="0.2">
      <c r="A155" s="15" t="s">
        <v>0</v>
      </c>
      <c r="B155" s="15">
        <v>30</v>
      </c>
      <c r="C155" s="15">
        <v>10</v>
      </c>
      <c r="D155" s="15">
        <v>0</v>
      </c>
      <c r="E155" s="15">
        <v>0</v>
      </c>
      <c r="F155" s="15" t="s">
        <v>77</v>
      </c>
      <c r="G155" s="15">
        <v>0</v>
      </c>
      <c r="H155" s="15">
        <v>0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35" x14ac:dyDescent="0.2">
      <c r="A156" s="15" t="s">
        <v>0</v>
      </c>
      <c r="B156" s="15">
        <v>30</v>
      </c>
      <c r="C156" s="15">
        <v>10</v>
      </c>
      <c r="D156" s="15">
        <v>0</v>
      </c>
      <c r="E156" s="15">
        <v>0</v>
      </c>
      <c r="F156" s="15" t="s">
        <v>104</v>
      </c>
      <c r="G156" s="15">
        <v>60</v>
      </c>
      <c r="H156" s="15">
        <v>1</v>
      </c>
      <c r="I156" s="15">
        <v>1</v>
      </c>
      <c r="J156" s="15">
        <v>48.4</v>
      </c>
      <c r="K156" s="15">
        <f>($B$3-J156)</f>
        <v>201.6</v>
      </c>
      <c r="L156" s="15">
        <f>J156/1000/$B$2</f>
        <v>33.060109289617486</v>
      </c>
      <c r="M156" s="15">
        <v>1000</v>
      </c>
      <c r="N156" s="15">
        <v>19</v>
      </c>
      <c r="O156" s="15">
        <f>((M156*$B$3)-(N156*J156))/K156</f>
        <v>1235.5178571428571</v>
      </c>
      <c r="P156" s="15">
        <f>(1-N156/M156)*100</f>
        <v>98.1</v>
      </c>
      <c r="Q156" s="15">
        <v>48.7</v>
      </c>
      <c r="R156" s="15">
        <f>($B$3-Q156)</f>
        <v>201.3</v>
      </c>
      <c r="S156" s="15">
        <f>Q156/1000/$B$2</f>
        <v>33.265027322404372</v>
      </c>
      <c r="T156" s="15">
        <v>1000</v>
      </c>
      <c r="U156" s="15">
        <v>11</v>
      </c>
      <c r="V156" s="15">
        <f>((T156*$B$3)-(U156*Q156))/R156</f>
        <v>1239.2662692498757</v>
      </c>
      <c r="W156" s="15">
        <f>(1-U156/T156)*100</f>
        <v>98.9</v>
      </c>
      <c r="X156" s="30">
        <f>AVERAGE(L156,S156)</f>
        <v>33.162568306010925</v>
      </c>
      <c r="Y156" s="30">
        <f>STDEV(L156,S156)</f>
        <v>0.14489893057101391</v>
      </c>
      <c r="Z156" s="30">
        <f>AVERAGE(P156,W156)</f>
        <v>98.5</v>
      </c>
      <c r="AA156" s="30">
        <f>STDEV(P156,W156)</f>
        <v>0.56568542494924612</v>
      </c>
    </row>
    <row r="157" spans="1:35" x14ac:dyDescent="0.2">
      <c r="A157" s="15" t="s">
        <v>0</v>
      </c>
      <c r="B157" s="15">
        <v>30</v>
      </c>
      <c r="C157" s="15">
        <v>10</v>
      </c>
      <c r="D157" s="15">
        <v>0</v>
      </c>
      <c r="E157" s="15">
        <v>0</v>
      </c>
      <c r="F157" s="15" t="s">
        <v>104</v>
      </c>
      <c r="G157" s="15">
        <v>120</v>
      </c>
      <c r="H157" s="15">
        <v>2</v>
      </c>
      <c r="I157" s="15">
        <v>1</v>
      </c>
      <c r="J157" s="15">
        <v>48.4</v>
      </c>
      <c r="K157" s="15">
        <f>K156-J157</f>
        <v>153.19999999999999</v>
      </c>
      <c r="L157" s="15">
        <f>J157/1000/$B$2</f>
        <v>33.060109289617486</v>
      </c>
      <c r="M157" s="15">
        <v>1186.9000000000001</v>
      </c>
      <c r="N157" s="15">
        <v>13.1</v>
      </c>
      <c r="O157" s="15">
        <f>((M157*K156)-(N157*J157))/K157</f>
        <v>1557.7349869451698</v>
      </c>
      <c r="P157" s="15">
        <f>(1-N157/M157)*100</f>
        <v>98.896284438453108</v>
      </c>
      <c r="Q157" s="15">
        <v>47.9</v>
      </c>
      <c r="R157" s="15">
        <f>R156-Q157</f>
        <v>153.4</v>
      </c>
      <c r="S157" s="15">
        <f>Q157/1000/$B$2</f>
        <v>32.718579234972673</v>
      </c>
      <c r="T157" s="15">
        <v>1191.4000000000001</v>
      </c>
      <c r="U157" s="15">
        <v>8.3000000000000007</v>
      </c>
      <c r="V157" s="15">
        <f>((T157*R156)-(U157*Q157))/R157</f>
        <v>1560.8295306388527</v>
      </c>
      <c r="W157" s="15">
        <f>(1-U157/T157)*100</f>
        <v>99.303340607688426</v>
      </c>
      <c r="X157" s="30">
        <f>AVERAGE(L157,S157)</f>
        <v>32.889344262295083</v>
      </c>
      <c r="Y157" s="30">
        <f>STDEV(L157,S157)</f>
        <v>0.24149821761835988</v>
      </c>
      <c r="Z157" s="30">
        <f>AVERAGE(P157,W157)</f>
        <v>99.099812523070767</v>
      </c>
      <c r="AA157" s="30">
        <f>STDEV(P157,W157)</f>
        <v>0.28783217759011231</v>
      </c>
      <c r="AB157" s="30">
        <f>L157/L154</f>
        <v>1</v>
      </c>
      <c r="AC157" s="30">
        <f>S157/S154</f>
        <v>1</v>
      </c>
      <c r="AD157" s="30">
        <f>X157/X154</f>
        <v>1</v>
      </c>
      <c r="AE157" s="30">
        <f>STDEV(AB157,AC157)</f>
        <v>0</v>
      </c>
      <c r="AF157" s="30">
        <f>P157/P154</f>
        <v>0.99897190872215302</v>
      </c>
      <c r="AG157" s="30">
        <f>W157/W154</f>
        <v>1.0010274890848756</v>
      </c>
      <c r="AH157" s="30">
        <f>Z157/Z154</f>
        <v>1.0000007533959814</v>
      </c>
      <c r="AI157" s="30">
        <f>STDEV(AF157,AG157)</f>
        <v>1.4535148137550362E-3</v>
      </c>
    </row>
    <row r="158" spans="1:35" x14ac:dyDescent="0.2">
      <c r="A158" s="38" t="s">
        <v>78</v>
      </c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35" x14ac:dyDescent="0.2">
      <c r="A159" s="15" t="s">
        <v>5</v>
      </c>
      <c r="B159" s="15">
        <v>12</v>
      </c>
      <c r="C159" s="15">
        <v>10</v>
      </c>
      <c r="D159" s="15">
        <v>1000</v>
      </c>
      <c r="E159" s="15">
        <v>4</v>
      </c>
      <c r="F159" s="15" t="s">
        <v>103</v>
      </c>
      <c r="G159" s="15">
        <v>60</v>
      </c>
      <c r="H159" s="15">
        <v>1</v>
      </c>
      <c r="I159" s="15">
        <v>1</v>
      </c>
      <c r="J159" s="15">
        <v>48.7</v>
      </c>
      <c r="K159" s="15">
        <f>($B$3-J159)</f>
        <v>201.3</v>
      </c>
      <c r="L159" s="15">
        <f>J159/1000/$B$2</f>
        <v>33.265027322404372</v>
      </c>
      <c r="M159" s="15">
        <v>1000</v>
      </c>
      <c r="N159" s="15">
        <v>21</v>
      </c>
      <c r="O159" s="15">
        <f>((M159*$B$3)-(N159*J159))/K159</f>
        <v>1236.8469945355189</v>
      </c>
      <c r="P159" s="15">
        <f>(1-N159/M159)*100</f>
        <v>97.899999999999991</v>
      </c>
      <c r="Q159" s="15">
        <v>48.4</v>
      </c>
      <c r="R159" s="15">
        <f>($B$3-Q159)</f>
        <v>201.6</v>
      </c>
      <c r="S159" s="15">
        <f>Q159/1000/$B$2</f>
        <v>33.060109289617486</v>
      </c>
      <c r="T159" s="15">
        <v>1000</v>
      </c>
      <c r="U159" s="15">
        <v>21</v>
      </c>
      <c r="V159" s="15">
        <f>((T159*$B$3)-(U159*Q159))/R159</f>
        <v>1235.0376984126985</v>
      </c>
      <c r="W159" s="15">
        <f>(1-U159/T159)*100</f>
        <v>97.899999999999991</v>
      </c>
      <c r="X159" s="30">
        <f>AVERAGE(L159,S159)</f>
        <v>33.162568306010925</v>
      </c>
      <c r="Y159" s="30">
        <f>STDEV(L159,S159)</f>
        <v>0.14489893057101391</v>
      </c>
      <c r="Z159" s="30">
        <f>AVERAGE(P159,W159)</f>
        <v>97.899999999999991</v>
      </c>
      <c r="AA159" s="30">
        <f>STDEV(P159,W159)</f>
        <v>0</v>
      </c>
    </row>
    <row r="160" spans="1:35" x14ac:dyDescent="0.2">
      <c r="A160" s="15" t="s">
        <v>5</v>
      </c>
      <c r="B160" s="15">
        <v>12</v>
      </c>
      <c r="C160" s="15">
        <v>10</v>
      </c>
      <c r="D160" s="15">
        <v>1000</v>
      </c>
      <c r="E160" s="15">
        <v>4</v>
      </c>
      <c r="F160" s="15" t="s">
        <v>103</v>
      </c>
      <c r="G160" s="15">
        <v>120</v>
      </c>
      <c r="H160" s="15">
        <v>2</v>
      </c>
      <c r="I160" s="15">
        <v>1</v>
      </c>
      <c r="J160" s="15">
        <v>48</v>
      </c>
      <c r="K160" s="15">
        <f>K159-J160</f>
        <v>153.30000000000001</v>
      </c>
      <c r="L160" s="15">
        <f>J160/1000/$B$2</f>
        <v>32.786885245901637</v>
      </c>
      <c r="M160" s="15">
        <v>1184</v>
      </c>
      <c r="N160" s="15">
        <v>34.299999999999997</v>
      </c>
      <c r="O160" s="15">
        <f>((M160*K159)-(N160*J160))/K160</f>
        <v>1543.9843444227006</v>
      </c>
      <c r="P160" s="15">
        <f>(1-N160/M160)*100</f>
        <v>97.103040540540547</v>
      </c>
      <c r="Q160" s="15">
        <v>48.4</v>
      </c>
      <c r="R160" s="15">
        <f>R159-Q160</f>
        <v>153.19999999999999</v>
      </c>
      <c r="S160" s="15">
        <f>Q160/1000/$B$2</f>
        <v>33.060109289617486</v>
      </c>
      <c r="T160" s="15">
        <v>1187</v>
      </c>
      <c r="U160" s="15">
        <v>29.7</v>
      </c>
      <c r="V160" s="15">
        <f>((T160*R159)-(U160*Q160))/R160</f>
        <v>1552.6221932114881</v>
      </c>
      <c r="W160" s="15">
        <f>(1-U160/T160)*100</f>
        <v>97.497893850042132</v>
      </c>
      <c r="X160" s="30">
        <f>AVERAGE(L160,S160)</f>
        <v>32.923497267759558</v>
      </c>
      <c r="Y160" s="30">
        <f>STDEV(L160,S160)</f>
        <v>0.19319857409468688</v>
      </c>
      <c r="Z160" s="30">
        <f>AVERAGE(P160,W160)</f>
        <v>97.300467195291333</v>
      </c>
      <c r="AA160" s="30">
        <f>STDEV(P160,W160)</f>
        <v>0.27920345272252117</v>
      </c>
    </row>
    <row r="161" spans="1:35" x14ac:dyDescent="0.2">
      <c r="A161" s="15" t="s">
        <v>5</v>
      </c>
      <c r="B161" s="15">
        <v>12</v>
      </c>
      <c r="C161" s="15">
        <v>10</v>
      </c>
      <c r="D161" s="15">
        <v>1000</v>
      </c>
      <c r="E161" s="15">
        <v>4</v>
      </c>
      <c r="F161" s="15" t="s">
        <v>83</v>
      </c>
      <c r="G161" s="15">
        <v>240</v>
      </c>
      <c r="H161" s="15">
        <v>4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35" x14ac:dyDescent="0.2">
      <c r="A162" s="15" t="s">
        <v>5</v>
      </c>
      <c r="B162" s="15">
        <v>12</v>
      </c>
      <c r="C162" s="15">
        <v>10</v>
      </c>
      <c r="D162" s="15">
        <v>1000</v>
      </c>
      <c r="E162" s="15">
        <v>4</v>
      </c>
      <c r="F162" s="15" t="s">
        <v>104</v>
      </c>
      <c r="G162" s="15">
        <v>60</v>
      </c>
      <c r="H162" s="15">
        <v>1</v>
      </c>
      <c r="I162" s="15">
        <v>1</v>
      </c>
      <c r="J162" s="15">
        <v>48.7</v>
      </c>
      <c r="K162" s="15">
        <f>$B$3-J162</f>
        <v>201.3</v>
      </c>
      <c r="L162" s="15">
        <f>J162/1000/$B$2</f>
        <v>33.265027322404372</v>
      </c>
      <c r="M162" s="15">
        <v>1000</v>
      </c>
      <c r="N162" s="15">
        <v>32.700000000000003</v>
      </c>
      <c r="O162" s="15">
        <f>((M162*$B$3)-(N162*J162))/K162</f>
        <v>1234.0164431197218</v>
      </c>
      <c r="P162" s="15">
        <f>(1-N162/M162)*100</f>
        <v>96.73</v>
      </c>
      <c r="Q162" s="15">
        <v>48.2</v>
      </c>
      <c r="R162" s="15">
        <f>$B$3-Q162</f>
        <v>201.8</v>
      </c>
      <c r="S162" s="15">
        <f>Q162/1000/$B$2</f>
        <v>32.923497267759565</v>
      </c>
      <c r="T162" s="15">
        <v>1000</v>
      </c>
      <c r="U162" s="15">
        <v>26.7</v>
      </c>
      <c r="V162" s="15">
        <f>((T162*$B$3)-(U162*Q162))/R162</f>
        <v>1232.4730426164519</v>
      </c>
      <c r="W162" s="15">
        <f>(1-U162/T162)*100</f>
        <v>97.330000000000013</v>
      </c>
      <c r="X162" s="30">
        <f>AVERAGE(L162,S162)</f>
        <v>33.094262295081968</v>
      </c>
      <c r="Y162" s="30">
        <f>STDEV(L162,S162)</f>
        <v>0.24149821761835485</v>
      </c>
      <c r="Z162" s="30">
        <f>AVERAGE(P162,W162)</f>
        <v>97.03</v>
      </c>
      <c r="AA162" s="30">
        <f>STDEV(P162,W162)</f>
        <v>0.42426406871193451</v>
      </c>
    </row>
    <row r="163" spans="1:35" x14ac:dyDescent="0.2">
      <c r="A163" s="15" t="s">
        <v>5</v>
      </c>
      <c r="B163" s="15">
        <v>12</v>
      </c>
      <c r="C163" s="15">
        <v>10</v>
      </c>
      <c r="D163" s="15">
        <v>1000</v>
      </c>
      <c r="E163" s="15">
        <v>4</v>
      </c>
      <c r="F163" s="15" t="s">
        <v>104</v>
      </c>
      <c r="G163" s="15">
        <v>120</v>
      </c>
      <c r="H163" s="15">
        <v>2</v>
      </c>
      <c r="I163" s="15">
        <v>1</v>
      </c>
      <c r="J163" s="15">
        <v>48</v>
      </c>
      <c r="K163" s="15">
        <f>K162-J163</f>
        <v>153.30000000000001</v>
      </c>
      <c r="L163" s="15">
        <f t="shared" ref="L163:L165" si="71">J163/1000/$B$2</f>
        <v>32.786885245901637</v>
      </c>
      <c r="M163" s="15">
        <v>1180.8</v>
      </c>
      <c r="N163" s="15">
        <v>45.7</v>
      </c>
      <c r="O163" s="15">
        <f>((M163*K162)-(N163*J163))/K163</f>
        <v>1536.2129158512719</v>
      </c>
      <c r="P163" s="15">
        <f>(1-N163/M163)*100</f>
        <v>96.129742547425479</v>
      </c>
      <c r="Q163" s="15">
        <v>48.3</v>
      </c>
      <c r="R163" s="15">
        <f>R162-Q163</f>
        <v>153.5</v>
      </c>
      <c r="S163" s="15">
        <f t="shared" ref="S163:S165" si="72">Q163/1000/$B$2</f>
        <v>32.991803278688522</v>
      </c>
      <c r="T163" s="15">
        <v>1184.3</v>
      </c>
      <c r="U163" s="15">
        <v>41.1</v>
      </c>
      <c r="V163" s="15">
        <f>((T163*R162)-(U163*Q163))/R163</f>
        <v>1544.017003257329</v>
      </c>
      <c r="W163" s="15">
        <f>(1-U163/T163)*100</f>
        <v>96.52959554167019</v>
      </c>
      <c r="X163" s="30">
        <f>AVERAGE(L163,S163)</f>
        <v>32.889344262295083</v>
      </c>
      <c r="Y163" s="30">
        <f>STDEV(L163,S163)</f>
        <v>0.14489893057101391</v>
      </c>
      <c r="Z163" s="30">
        <f>AVERAGE(P163,W163)</f>
        <v>96.329669044547842</v>
      </c>
      <c r="AA163" s="30">
        <f>STDEV(P163,W163)</f>
        <v>0.28273876370818046</v>
      </c>
      <c r="AB163" s="30">
        <f>L163/L160</f>
        <v>1</v>
      </c>
      <c r="AC163" s="30">
        <f>S163/S160</f>
        <v>0.99793388429752061</v>
      </c>
      <c r="AD163" s="30">
        <f>X163/X160</f>
        <v>0.99896265560165998</v>
      </c>
      <c r="AE163" s="30">
        <f>STDEV(AB163,AC163)</f>
        <v>1.4609644239391823E-3</v>
      </c>
      <c r="AF163" s="30">
        <f>P163/P160</f>
        <v>0.9899766476137406</v>
      </c>
      <c r="AG163" s="30">
        <f>W163/W160</f>
        <v>0.99006852076352292</v>
      </c>
      <c r="AH163" s="30">
        <f>Z163/Z160</f>
        <v>0.99002267739583405</v>
      </c>
      <c r="AI163" s="30">
        <f>STDEV(AF163,AG163)</f>
        <v>6.496412722004427E-5</v>
      </c>
    </row>
    <row r="164" spans="1:35" x14ac:dyDescent="0.2">
      <c r="A164" s="15" t="s">
        <v>1</v>
      </c>
      <c r="B164" s="15">
        <v>30</v>
      </c>
      <c r="C164" s="15">
        <v>10</v>
      </c>
      <c r="D164" s="15">
        <v>1000</v>
      </c>
      <c r="E164" s="15">
        <v>4</v>
      </c>
      <c r="F164" s="15" t="s">
        <v>103</v>
      </c>
      <c r="G164" s="15">
        <v>60</v>
      </c>
      <c r="H164" s="15">
        <v>1</v>
      </c>
      <c r="I164" s="15">
        <v>1</v>
      </c>
      <c r="J164" s="15">
        <v>47.9</v>
      </c>
      <c r="K164" s="15">
        <f>$B$3-J164</f>
        <v>202.1</v>
      </c>
      <c r="L164" s="15">
        <f t="shared" si="71"/>
        <v>32.718579234972673</v>
      </c>
      <c r="M164" s="15">
        <v>1000</v>
      </c>
      <c r="N164" s="15">
        <v>19</v>
      </c>
      <c r="O164" s="15">
        <f>((M164*$B$3)-(N164*J164))/K164</f>
        <v>1232.5081642751113</v>
      </c>
      <c r="P164" s="15">
        <f t="shared" ref="P164:P165" si="73">(1-N164/M164)*100</f>
        <v>98.1</v>
      </c>
      <c r="Q164" s="15">
        <v>48.3</v>
      </c>
      <c r="R164" s="15">
        <f>$B$3-Q164</f>
        <v>201.7</v>
      </c>
      <c r="S164" s="15">
        <f t="shared" si="72"/>
        <v>32.991803278688522</v>
      </c>
      <c r="T164" s="15">
        <v>1000</v>
      </c>
      <c r="U164" s="15">
        <v>19</v>
      </c>
      <c r="V164" s="15">
        <f>((T164*$B$3)-(U164*Q164))/R164</f>
        <v>1234.9147248388697</v>
      </c>
      <c r="W164" s="15">
        <f t="shared" ref="W164:W165" si="74">(1-U164/T164)*100</f>
        <v>98.1</v>
      </c>
      <c r="X164" s="30">
        <f>AVERAGE(L164,S164)</f>
        <v>32.855191256830594</v>
      </c>
      <c r="Y164" s="30">
        <f>STDEV(L164,S164)</f>
        <v>0.19319857409468688</v>
      </c>
      <c r="Z164" s="30">
        <f>AVERAGE(P164,W164)</f>
        <v>98.1</v>
      </c>
      <c r="AA164" s="30">
        <f>STDEV(P164,W164)</f>
        <v>0</v>
      </c>
    </row>
    <row r="165" spans="1:35" x14ac:dyDescent="0.2">
      <c r="A165" s="15" t="s">
        <v>1</v>
      </c>
      <c r="B165" s="15">
        <v>30</v>
      </c>
      <c r="C165" s="15">
        <v>10</v>
      </c>
      <c r="D165" s="15">
        <v>1000</v>
      </c>
      <c r="E165" s="15">
        <v>4</v>
      </c>
      <c r="F165" s="15" t="s">
        <v>103</v>
      </c>
      <c r="G165" s="15">
        <v>120</v>
      </c>
      <c r="H165" s="15">
        <v>2</v>
      </c>
      <c r="I165" s="15">
        <v>1</v>
      </c>
      <c r="J165" s="15">
        <v>48.1</v>
      </c>
      <c r="K165" s="15">
        <f>K164-J165</f>
        <v>154</v>
      </c>
      <c r="L165" s="15">
        <f t="shared" si="71"/>
        <v>32.855191256830601</v>
      </c>
      <c r="M165" s="15">
        <v>1185.9000000000001</v>
      </c>
      <c r="N165" s="15">
        <v>17.8</v>
      </c>
      <c r="O165" s="15">
        <f>((M165*K164)-(N165*J165))/K165</f>
        <v>1550.7416233766235</v>
      </c>
      <c r="P165" s="15">
        <f t="shared" si="73"/>
        <v>98.49903027236698</v>
      </c>
      <c r="Q165" s="15">
        <v>47.6</v>
      </c>
      <c r="R165" s="15">
        <f>R164-Q165</f>
        <v>154.1</v>
      </c>
      <c r="S165" s="15">
        <f t="shared" si="72"/>
        <v>32.513661202185794</v>
      </c>
      <c r="T165" s="15">
        <v>1187.8</v>
      </c>
      <c r="U165" s="15">
        <v>15.4</v>
      </c>
      <c r="V165" s="15">
        <f>((T165*R164)-(U165*Q165))/R165</f>
        <v>1549.9430240103827</v>
      </c>
      <c r="W165" s="15">
        <f t="shared" si="74"/>
        <v>98.703485435258472</v>
      </c>
      <c r="X165" s="30">
        <f>AVERAGE(L165,S165)</f>
        <v>32.684426229508198</v>
      </c>
      <c r="Y165" s="30">
        <f>STDEV(L165,S165)</f>
        <v>0.24149821761835485</v>
      </c>
      <c r="Z165" s="30">
        <f>AVERAGE(P165,W165)</f>
        <v>98.601257853812726</v>
      </c>
      <c r="AA165" s="30">
        <f>STDEV(P165,W165)</f>
        <v>0.14457163212917393</v>
      </c>
    </row>
    <row r="166" spans="1:35" x14ac:dyDescent="0.2">
      <c r="A166" s="15" t="s">
        <v>1</v>
      </c>
      <c r="B166" s="15">
        <v>30</v>
      </c>
      <c r="C166" s="15">
        <v>10</v>
      </c>
      <c r="D166" s="15">
        <v>1000</v>
      </c>
      <c r="E166" s="15">
        <v>4</v>
      </c>
      <c r="F166" s="15" t="s">
        <v>83</v>
      </c>
      <c r="G166" s="15">
        <v>240</v>
      </c>
      <c r="H166" s="15">
        <v>4</v>
      </c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35" x14ac:dyDescent="0.2">
      <c r="A167" s="15" t="s">
        <v>1</v>
      </c>
      <c r="B167" s="15">
        <v>30</v>
      </c>
      <c r="C167" s="15">
        <v>10</v>
      </c>
      <c r="D167" s="15">
        <v>1000</v>
      </c>
      <c r="E167" s="15">
        <v>4</v>
      </c>
      <c r="F167" s="15" t="s">
        <v>104</v>
      </c>
      <c r="G167" s="15">
        <v>60</v>
      </c>
      <c r="H167" s="15">
        <v>1</v>
      </c>
      <c r="I167" s="15">
        <v>1</v>
      </c>
      <c r="J167" s="15">
        <v>48.1</v>
      </c>
      <c r="K167" s="15">
        <f>$B$3-J167</f>
        <v>201.9</v>
      </c>
      <c r="L167" s="15">
        <f>J167/1000/$B$2</f>
        <v>32.855191256830601</v>
      </c>
      <c r="M167" s="15">
        <v>1000</v>
      </c>
      <c r="N167" s="15">
        <v>27.7</v>
      </c>
      <c r="O167" s="15">
        <f>((M167*$B$3)-(N167*J167))/K167</f>
        <v>1231.6375928677562</v>
      </c>
      <c r="P167" s="15">
        <f>(1-N167/M167)*100</f>
        <v>97.23</v>
      </c>
      <c r="Q167" s="15">
        <v>48.4</v>
      </c>
      <c r="R167" s="15">
        <f>$B$3-Q167</f>
        <v>201.6</v>
      </c>
      <c r="S167" s="15">
        <f>Q167/1000/$B$2</f>
        <v>33.060109289617486</v>
      </c>
      <c r="T167" s="15">
        <v>1000</v>
      </c>
      <c r="U167" s="15">
        <v>27.7</v>
      </c>
      <c r="V167" s="15">
        <f>((T167*$B$3)-(U167*Q167))/R167</f>
        <v>1233.4291666666668</v>
      </c>
      <c r="W167" s="15">
        <f>(1-U167/T167)*100</f>
        <v>97.23</v>
      </c>
      <c r="X167" s="30">
        <f>AVERAGE(L167,S167)</f>
        <v>32.957650273224047</v>
      </c>
      <c r="Y167" s="30">
        <f>STDEV(L167,S167)</f>
        <v>0.14489893057101391</v>
      </c>
      <c r="Z167" s="30">
        <f>AVERAGE(P167,W167)</f>
        <v>97.23</v>
      </c>
      <c r="AA167" s="30">
        <f>STDEV(P167,W167)</f>
        <v>0</v>
      </c>
    </row>
    <row r="168" spans="1:35" x14ac:dyDescent="0.2">
      <c r="A168" s="15" t="s">
        <v>1</v>
      </c>
      <c r="B168" s="15">
        <v>30</v>
      </c>
      <c r="C168" s="15">
        <v>10</v>
      </c>
      <c r="D168" s="15">
        <v>1000</v>
      </c>
      <c r="E168" s="15">
        <v>4</v>
      </c>
      <c r="F168" s="15" t="s">
        <v>104</v>
      </c>
      <c r="G168" s="15">
        <v>120</v>
      </c>
      <c r="H168" s="15">
        <v>2</v>
      </c>
      <c r="I168" s="15">
        <v>1</v>
      </c>
      <c r="J168" s="15">
        <v>48.4</v>
      </c>
      <c r="K168" s="15">
        <f>K167-J168</f>
        <v>153.5</v>
      </c>
      <c r="L168" s="15">
        <f t="shared" ref="L168:L170" si="75">J168/1000/$B$2</f>
        <v>33.060109289617486</v>
      </c>
      <c r="M168" s="15">
        <v>1184.4000000000001</v>
      </c>
      <c r="N168" s="15">
        <v>42.3</v>
      </c>
      <c r="O168" s="15">
        <f>((M168*K167)-(N168*J168))/K168</f>
        <v>1544.5149185667753</v>
      </c>
      <c r="P168" s="15">
        <f>(1-N168/M168)*100</f>
        <v>96.428571428571431</v>
      </c>
      <c r="Q168" s="15">
        <v>47.7</v>
      </c>
      <c r="R168" s="15">
        <f>R167-Q168</f>
        <v>153.89999999999998</v>
      </c>
      <c r="S168" s="15">
        <f t="shared" ref="S168:S170" si="76">Q168/1000/$B$2</f>
        <v>32.581967213114758</v>
      </c>
      <c r="T168" s="15">
        <v>1187.3</v>
      </c>
      <c r="U168" s="15">
        <v>37.700000000000003</v>
      </c>
      <c r="V168" s="15">
        <f>((T168*R167)-(U168*Q168))/R168</f>
        <v>1543.6087719298248</v>
      </c>
      <c r="W168" s="15">
        <f>(1-U168/T168)*100</f>
        <v>96.824728375305313</v>
      </c>
      <c r="X168" s="30">
        <f>AVERAGE(L168,S168)</f>
        <v>32.821038251366119</v>
      </c>
      <c r="Y168" s="30">
        <f>STDEV(L168,S168)</f>
        <v>0.33809750466569577</v>
      </c>
      <c r="Z168" s="30">
        <f>AVERAGE(P168,W168)</f>
        <v>96.626649901938379</v>
      </c>
      <c r="AA168" s="30">
        <f>STDEV(P168,W168)</f>
        <v>0.2801252634496858</v>
      </c>
      <c r="AB168" s="30">
        <f>L168/L165</f>
        <v>1.0062370062370063</v>
      </c>
      <c r="AC168" s="30">
        <f>S168/S165</f>
        <v>1.0021008403361344</v>
      </c>
      <c r="AD168" s="30">
        <f>X168/X165</f>
        <v>1.0041797283176592</v>
      </c>
      <c r="AE168" s="30">
        <f>STDEV(AB168,AC168)</f>
        <v>2.9247109566190479E-3</v>
      </c>
      <c r="AF168" s="30">
        <f>P168/P165</f>
        <v>0.9789799063191752</v>
      </c>
      <c r="AG168" s="30">
        <f>W168/W165</f>
        <v>0.98096564623155613</v>
      </c>
      <c r="AH168" s="30">
        <f>Z168/Z165</f>
        <v>0.9799738056607562</v>
      </c>
      <c r="AI168" s="30">
        <f>STDEV(AF168,AG168)</f>
        <v>1.4041301577173398E-3</v>
      </c>
    </row>
    <row r="169" spans="1:35" x14ac:dyDescent="0.2">
      <c r="A169" s="15" t="s">
        <v>0</v>
      </c>
      <c r="B169" s="15">
        <v>30</v>
      </c>
      <c r="C169" s="15">
        <v>10</v>
      </c>
      <c r="D169" s="15">
        <v>1000</v>
      </c>
      <c r="E169" s="15">
        <v>4</v>
      </c>
      <c r="F169" s="15" t="s">
        <v>103</v>
      </c>
      <c r="G169" s="15">
        <v>60</v>
      </c>
      <c r="H169" s="15">
        <v>1</v>
      </c>
      <c r="I169" s="15">
        <v>1</v>
      </c>
      <c r="J169" s="15">
        <v>48.8</v>
      </c>
      <c r="K169" s="15">
        <f>$B$3-J169</f>
        <v>201.2</v>
      </c>
      <c r="L169" s="15">
        <f t="shared" si="75"/>
        <v>33.333333333333329</v>
      </c>
      <c r="M169" s="15">
        <v>1000</v>
      </c>
      <c r="N169" s="15">
        <v>19</v>
      </c>
      <c r="O169" s="15">
        <f>((M169*$B$3)-(N169*J169))/K169</f>
        <v>1237.9363817097415</v>
      </c>
      <c r="P169" s="15">
        <f t="shared" ref="P169:P170" si="77">(1-N169/M169)*100</f>
        <v>98.1</v>
      </c>
      <c r="Q169" s="15">
        <v>48.3</v>
      </c>
      <c r="R169" s="15">
        <f>$B$3-Q169</f>
        <v>201.7</v>
      </c>
      <c r="S169" s="15">
        <f t="shared" si="76"/>
        <v>32.991803278688522</v>
      </c>
      <c r="T169" s="15">
        <v>1000</v>
      </c>
      <c r="U169" s="15">
        <v>17</v>
      </c>
      <c r="V169" s="15">
        <f>((T169*$B$3)-(U169*Q169))/R169</f>
        <v>1235.3936539414974</v>
      </c>
      <c r="W169" s="15">
        <f t="shared" ref="W169:W170" si="78">(1-U169/T169)*100</f>
        <v>98.3</v>
      </c>
      <c r="X169" s="30">
        <f>AVERAGE(L169,S169)</f>
        <v>33.162568306010925</v>
      </c>
      <c r="Y169" s="30">
        <f>STDEV(L169,S169)</f>
        <v>0.24149821761835485</v>
      </c>
      <c r="Z169" s="30">
        <f>AVERAGE(P169,W169)</f>
        <v>98.199999999999989</v>
      </c>
      <c r="AA169" s="30">
        <f>STDEV(P169,W169)</f>
        <v>0.14142135623731153</v>
      </c>
    </row>
    <row r="170" spans="1:35" x14ac:dyDescent="0.2">
      <c r="A170" s="15" t="s">
        <v>0</v>
      </c>
      <c r="B170" s="15">
        <v>30</v>
      </c>
      <c r="C170" s="15">
        <v>10</v>
      </c>
      <c r="D170" s="15">
        <v>1000</v>
      </c>
      <c r="E170" s="15">
        <v>4</v>
      </c>
      <c r="F170" s="15" t="s">
        <v>103</v>
      </c>
      <c r="G170" s="15">
        <v>120</v>
      </c>
      <c r="H170" s="15">
        <v>2</v>
      </c>
      <c r="I170" s="15">
        <v>1</v>
      </c>
      <c r="J170" s="15">
        <v>48</v>
      </c>
      <c r="K170" s="15">
        <f>K169-J170</f>
        <v>153.19999999999999</v>
      </c>
      <c r="L170" s="15">
        <f t="shared" si="75"/>
        <v>32.786885245901637</v>
      </c>
      <c r="M170" s="15">
        <v>1187.8</v>
      </c>
      <c r="N170" s="15">
        <v>15.4</v>
      </c>
      <c r="O170" s="15">
        <f>((M170*K169)-(N170*J170))/K170</f>
        <v>1555.1315926892951</v>
      </c>
      <c r="P170" s="15">
        <f t="shared" si="77"/>
        <v>98.703485435258472</v>
      </c>
      <c r="Q170" s="15">
        <v>48.6</v>
      </c>
      <c r="R170" s="15">
        <f>R169-Q170</f>
        <v>153.1</v>
      </c>
      <c r="S170" s="15">
        <f t="shared" si="76"/>
        <v>33.196721311475414</v>
      </c>
      <c r="T170" s="15">
        <v>1190.5999999999999</v>
      </c>
      <c r="U170" s="15">
        <v>10.7</v>
      </c>
      <c r="V170" s="15">
        <f>((T170*R169)-(U170*Q170))/R170</f>
        <v>1565.1469627694316</v>
      </c>
      <c r="W170" s="15">
        <f t="shared" si="78"/>
        <v>99.101293465479586</v>
      </c>
      <c r="X170" s="30">
        <f>AVERAGE(L170,S170)</f>
        <v>32.991803278688522</v>
      </c>
      <c r="Y170" s="30">
        <f>STDEV(L170,S170)</f>
        <v>0.28979786114203288</v>
      </c>
      <c r="Z170" s="30">
        <f>AVERAGE(P170,W170)</f>
        <v>98.902389450369029</v>
      </c>
      <c r="AA170" s="30">
        <f>STDEV(P170,W170)</f>
        <v>0.28129275577981272</v>
      </c>
    </row>
    <row r="171" spans="1:35" x14ac:dyDescent="0.2">
      <c r="A171" s="15" t="s">
        <v>0</v>
      </c>
      <c r="B171" s="15">
        <v>30</v>
      </c>
      <c r="C171" s="15">
        <v>10</v>
      </c>
      <c r="D171" s="15">
        <v>1000</v>
      </c>
      <c r="E171" s="15">
        <v>4</v>
      </c>
      <c r="F171" s="15" t="s">
        <v>83</v>
      </c>
      <c r="G171" s="15">
        <v>240</v>
      </c>
      <c r="H171" s="15">
        <v>4</v>
      </c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35" x14ac:dyDescent="0.2">
      <c r="A172" s="15" t="s">
        <v>0</v>
      </c>
      <c r="B172" s="15">
        <v>30</v>
      </c>
      <c r="C172" s="15">
        <v>10</v>
      </c>
      <c r="D172" s="15">
        <v>1000</v>
      </c>
      <c r="E172" s="15">
        <v>4</v>
      </c>
      <c r="F172" s="15" t="s">
        <v>104</v>
      </c>
      <c r="G172" s="15">
        <v>60</v>
      </c>
      <c r="H172" s="15">
        <v>1</v>
      </c>
      <c r="I172" s="15">
        <v>1</v>
      </c>
      <c r="J172" s="15">
        <v>48.7</v>
      </c>
      <c r="K172" s="15">
        <f>($B$3-J172)</f>
        <v>201.3</v>
      </c>
      <c r="L172" s="15">
        <f>J172/1000/$B$2</f>
        <v>33.265027322404372</v>
      </c>
      <c r="M172" s="15">
        <v>1000</v>
      </c>
      <c r="N172" s="15">
        <v>17</v>
      </c>
      <c r="O172" s="15">
        <f>((M172*$B$3)-(N172*J172))/K172</f>
        <v>1237.8147044212617</v>
      </c>
      <c r="P172" s="15">
        <f>(1-N172/M172)*100</f>
        <v>98.3</v>
      </c>
      <c r="Q172" s="15">
        <v>48.3</v>
      </c>
      <c r="R172" s="15">
        <f>($B$3-Q172)</f>
        <v>201.7</v>
      </c>
      <c r="S172" s="15">
        <f>Q172/1000/$B$2</f>
        <v>32.991803278688522</v>
      </c>
      <c r="T172" s="15">
        <v>1000</v>
      </c>
      <c r="U172" s="15">
        <v>15</v>
      </c>
      <c r="V172" s="15">
        <f>((T172*$B$3)-(U172*Q172))/R172</f>
        <v>1235.8725830441249</v>
      </c>
      <c r="W172" s="15">
        <f>(1-U172/T172)*100</f>
        <v>98.5</v>
      </c>
      <c r="X172" s="30">
        <f>AVERAGE(L172,S172)</f>
        <v>33.12841530054645</v>
      </c>
      <c r="Y172" s="30">
        <f>STDEV(L172,S172)</f>
        <v>0.19319857409468688</v>
      </c>
      <c r="Z172" s="30">
        <f>AVERAGE(P172,W172)</f>
        <v>98.4</v>
      </c>
      <c r="AA172" s="30">
        <f>STDEV(P172,W172)</f>
        <v>0.14142135623731153</v>
      </c>
    </row>
    <row r="173" spans="1:35" x14ac:dyDescent="0.2">
      <c r="A173" s="15" t="s">
        <v>0</v>
      </c>
      <c r="B173" s="15">
        <v>30</v>
      </c>
      <c r="C173" s="15">
        <v>10</v>
      </c>
      <c r="D173" s="15">
        <v>1000</v>
      </c>
      <c r="E173" s="15">
        <v>4</v>
      </c>
      <c r="F173" s="15" t="s">
        <v>104</v>
      </c>
      <c r="G173" s="15">
        <v>120</v>
      </c>
      <c r="H173" s="15">
        <v>2</v>
      </c>
      <c r="I173" s="15">
        <v>1</v>
      </c>
      <c r="J173" s="15">
        <v>48</v>
      </c>
      <c r="K173" s="15">
        <f>K172-J173</f>
        <v>153.30000000000001</v>
      </c>
      <c r="L173" s="15">
        <f>J173/1000/$B$2</f>
        <v>32.786885245901637</v>
      </c>
      <c r="M173" s="15">
        <v>1189.0999999999999</v>
      </c>
      <c r="N173" s="15">
        <v>15.5</v>
      </c>
      <c r="O173" s="15">
        <f>((M173*K172)-(N173*J173))/K173</f>
        <v>1556.5677103718197</v>
      </c>
      <c r="P173" s="15">
        <f>(1-N173/M173)*100</f>
        <v>98.696493146076875</v>
      </c>
      <c r="Q173" s="15">
        <v>48.6</v>
      </c>
      <c r="R173" s="15">
        <f>R172-Q173</f>
        <v>153.1</v>
      </c>
      <c r="S173" s="15">
        <f>Q173/1000/$B$2</f>
        <v>33.196721311475414</v>
      </c>
      <c r="T173" s="15">
        <v>1191.4000000000001</v>
      </c>
      <c r="U173" s="15">
        <v>10.7</v>
      </c>
      <c r="V173" s="15">
        <f>((T173*R172)-(U173*Q173))/R173</f>
        <v>1566.20091443501</v>
      </c>
      <c r="W173" s="15">
        <f>(1-U173/T173)*100</f>
        <v>99.101896927983873</v>
      </c>
      <c r="X173" s="30">
        <f>AVERAGE(L173,S173)</f>
        <v>32.991803278688522</v>
      </c>
      <c r="Y173" s="30">
        <f>STDEV(L173,S173)</f>
        <v>0.28979786114203288</v>
      </c>
      <c r="Z173" s="30">
        <f>AVERAGE(P173,W173)</f>
        <v>98.899195037030381</v>
      </c>
      <c r="AA173" s="30">
        <f>STDEV(P173,W173)</f>
        <v>0.28666376330511012</v>
      </c>
      <c r="AB173" s="30">
        <f>L173/L170</f>
        <v>1</v>
      </c>
      <c r="AC173" s="30">
        <f>S173/S170</f>
        <v>1</v>
      </c>
      <c r="AD173" s="30">
        <f>X173/X170</f>
        <v>1</v>
      </c>
      <c r="AE173" s="30">
        <f>STDEV(AB173,AC173)</f>
        <v>0</v>
      </c>
      <c r="AF173" s="30">
        <f>P173/P170</f>
        <v>0.99992915863962895</v>
      </c>
      <c r="AG173" s="30">
        <f>W173/W170</f>
        <v>1.0000060893504332</v>
      </c>
      <c r="AH173" s="30">
        <f>Z173/Z170</f>
        <v>0.99996770135325952</v>
      </c>
      <c r="AI173" s="30">
        <f>STDEV(AF173,AG173)</f>
        <v>5.4398227291207147E-5</v>
      </c>
    </row>
    <row r="174" spans="1:35" x14ac:dyDescent="0.2">
      <c r="A174" s="38" t="s">
        <v>80</v>
      </c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35" x14ac:dyDescent="0.2">
      <c r="A175" s="15" t="s">
        <v>5</v>
      </c>
      <c r="B175" s="15">
        <v>12</v>
      </c>
      <c r="C175" s="15">
        <v>10</v>
      </c>
      <c r="D175" s="15">
        <v>3000</v>
      </c>
      <c r="E175" s="15">
        <v>12</v>
      </c>
      <c r="F175" s="15" t="s">
        <v>103</v>
      </c>
      <c r="G175" s="15">
        <v>60</v>
      </c>
      <c r="H175" s="15">
        <v>1</v>
      </c>
      <c r="I175" s="15">
        <v>1</v>
      </c>
      <c r="J175" s="15">
        <v>48.2</v>
      </c>
      <c r="K175" s="15">
        <f>($B$3-J175)</f>
        <v>201.8</v>
      </c>
      <c r="L175" s="15">
        <f>J175/1000/$B$2</f>
        <v>32.923497267759565</v>
      </c>
      <c r="M175" s="15">
        <v>1000</v>
      </c>
      <c r="N175" s="15">
        <v>29</v>
      </c>
      <c r="O175" s="15">
        <f>((M175*$B$3)-(N175*J175))/K175</f>
        <v>1231.9236868186324</v>
      </c>
      <c r="P175" s="15">
        <f>(1-N175/M175)*100</f>
        <v>97.1</v>
      </c>
      <c r="Q175" s="15">
        <v>47.7</v>
      </c>
      <c r="R175" s="15">
        <f>($B$3-Q175)</f>
        <v>202.3</v>
      </c>
      <c r="S175" s="15">
        <f>Q175/1000/$B$2</f>
        <v>32.581967213114758</v>
      </c>
      <c r="T175" s="15">
        <v>1000</v>
      </c>
      <c r="U175" s="15">
        <v>23</v>
      </c>
      <c r="V175" s="15">
        <f>((T175*$B$3)-(U175*Q175))/R175</f>
        <v>1230.3652990608007</v>
      </c>
      <c r="W175" s="15">
        <f>(1-U175/T175)*100</f>
        <v>97.7</v>
      </c>
      <c r="X175" s="30">
        <f>AVERAGE(L175,S175)</f>
        <v>32.752732240437162</v>
      </c>
      <c r="Y175" s="30">
        <f>STDEV(L175,S175)</f>
        <v>0.24149821761835485</v>
      </c>
      <c r="Z175" s="30">
        <f>AVERAGE(P175,W175)</f>
        <v>97.4</v>
      </c>
      <c r="AA175" s="30">
        <f>STDEV(P175,W175)</f>
        <v>0.42426406871193451</v>
      </c>
    </row>
    <row r="176" spans="1:35" x14ac:dyDescent="0.2">
      <c r="A176" s="15" t="s">
        <v>5</v>
      </c>
      <c r="B176" s="15">
        <v>12</v>
      </c>
      <c r="C176" s="15">
        <v>10</v>
      </c>
      <c r="D176" s="15">
        <v>3000</v>
      </c>
      <c r="E176" s="15">
        <v>12</v>
      </c>
      <c r="F176" s="15" t="s">
        <v>103</v>
      </c>
      <c r="G176" s="15">
        <v>120</v>
      </c>
      <c r="H176" s="15">
        <v>2</v>
      </c>
      <c r="I176" s="15">
        <v>1</v>
      </c>
      <c r="J176" s="15">
        <v>47.5</v>
      </c>
      <c r="K176" s="15">
        <f>K175-J176</f>
        <v>154.30000000000001</v>
      </c>
      <c r="L176" s="15">
        <f>J176/1000/$B$2</f>
        <v>32.44535519125683</v>
      </c>
      <c r="M176" s="15">
        <v>1183.4000000000001</v>
      </c>
      <c r="N176" s="15">
        <v>41.4</v>
      </c>
      <c r="O176" s="15">
        <f>((M176*K175)-(N176*J176))/K176</f>
        <v>1534.955411535969</v>
      </c>
      <c r="P176" s="15">
        <f>(1-N176/M176)*100</f>
        <v>96.501605543349669</v>
      </c>
      <c r="Q176" s="15">
        <v>48</v>
      </c>
      <c r="R176" s="15">
        <f>R175-Q176</f>
        <v>154.30000000000001</v>
      </c>
      <c r="S176" s="15">
        <f>Q176/1000/$B$2</f>
        <v>32.786885245901637</v>
      </c>
      <c r="T176" s="15">
        <v>1187</v>
      </c>
      <c r="U176" s="15">
        <v>36.799999999999997</v>
      </c>
      <c r="V176" s="15">
        <f>((T176*R175)-(U176*Q176))/R176</f>
        <v>1544.8068697342837</v>
      </c>
      <c r="W176" s="15">
        <f>(1-U176/T176)*100</f>
        <v>96.89974726200505</v>
      </c>
      <c r="X176" s="30">
        <f>AVERAGE(L176,S176)</f>
        <v>32.616120218579233</v>
      </c>
      <c r="Y176" s="30">
        <f>STDEV(L176,S176)</f>
        <v>0.24149821761835485</v>
      </c>
      <c r="Z176" s="30">
        <f>AVERAGE(P176,W176)</f>
        <v>96.70067640267736</v>
      </c>
      <c r="AA176" s="30">
        <f>STDEV(P176,W176)</f>
        <v>0.28152870913448663</v>
      </c>
    </row>
    <row r="177" spans="1:35" x14ac:dyDescent="0.2">
      <c r="A177" s="15" t="s">
        <v>5</v>
      </c>
      <c r="B177" s="15">
        <v>12</v>
      </c>
      <c r="C177" s="15">
        <v>10</v>
      </c>
      <c r="D177" s="15">
        <v>3000</v>
      </c>
      <c r="E177" s="15">
        <v>12</v>
      </c>
      <c r="F177" s="15" t="s">
        <v>83</v>
      </c>
      <c r="G177" s="15">
        <v>720</v>
      </c>
      <c r="H177" s="15">
        <v>12</v>
      </c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35" x14ac:dyDescent="0.2">
      <c r="A178" s="15" t="s">
        <v>5</v>
      </c>
      <c r="B178" s="15">
        <v>12</v>
      </c>
      <c r="C178" s="15">
        <v>10</v>
      </c>
      <c r="D178" s="15">
        <v>3000</v>
      </c>
      <c r="E178" s="15">
        <v>12</v>
      </c>
      <c r="F178" s="15" t="s">
        <v>104</v>
      </c>
      <c r="G178" s="15">
        <v>60</v>
      </c>
      <c r="H178" s="15">
        <v>1</v>
      </c>
      <c r="I178" s="15">
        <v>1</v>
      </c>
      <c r="J178" s="15">
        <v>43.3</v>
      </c>
      <c r="K178" s="15">
        <f>$B$3-J178</f>
        <v>206.7</v>
      </c>
      <c r="L178" s="15">
        <f>J178/1000/$B$2</f>
        <v>29.576502732240435</v>
      </c>
      <c r="M178" s="15">
        <v>1000</v>
      </c>
      <c r="N178" s="15">
        <v>40.700000000000003</v>
      </c>
      <c r="O178" s="15">
        <f>((M178*$B$3)-(N178*J178))/K178</f>
        <v>1200.9564102564104</v>
      </c>
      <c r="P178" s="15">
        <f>(1-N178/M178)*100</f>
        <v>95.93</v>
      </c>
      <c r="Q178" s="15">
        <v>42.9</v>
      </c>
      <c r="R178" s="15">
        <f>$B$3-Q178</f>
        <v>207.1</v>
      </c>
      <c r="S178" s="15">
        <f>Q178/1000/$B$2</f>
        <v>29.303278688524589</v>
      </c>
      <c r="T178" s="15">
        <v>1000</v>
      </c>
      <c r="U178" s="15">
        <v>34.700000000000003</v>
      </c>
      <c r="V178" s="15">
        <f>((T178*$B$3)-(U178*Q178))/R178</f>
        <v>1199.9583293095122</v>
      </c>
      <c r="W178" s="15">
        <f>(1-U178/T178)*100</f>
        <v>96.53</v>
      </c>
      <c r="X178" s="30">
        <f>AVERAGE(L178,S178)</f>
        <v>29.439890710382514</v>
      </c>
      <c r="Y178" s="30">
        <f>STDEV(L178,S178)</f>
        <v>0.19319857409468438</v>
      </c>
      <c r="Z178" s="30">
        <f>AVERAGE(P178,W178)</f>
        <v>96.23</v>
      </c>
      <c r="AA178" s="30">
        <f>STDEV(P178,W178)</f>
        <v>0.42426406871192446</v>
      </c>
    </row>
    <row r="179" spans="1:35" x14ac:dyDescent="0.2">
      <c r="A179" s="15" t="s">
        <v>5</v>
      </c>
      <c r="B179" s="15">
        <v>12</v>
      </c>
      <c r="C179" s="15">
        <v>10</v>
      </c>
      <c r="D179" s="15">
        <v>3000</v>
      </c>
      <c r="E179" s="15">
        <v>12</v>
      </c>
      <c r="F179" s="15" t="s">
        <v>104</v>
      </c>
      <c r="G179" s="15">
        <v>120</v>
      </c>
      <c r="H179" s="15">
        <v>2</v>
      </c>
      <c r="I179" s="15">
        <v>1</v>
      </c>
      <c r="J179" s="15">
        <v>42.7</v>
      </c>
      <c r="K179" s="15">
        <f>K178-J179</f>
        <v>164</v>
      </c>
      <c r="L179" s="15">
        <f t="shared" ref="L179:L181" si="79">J179/1000/$B$2</f>
        <v>29.166666666666668</v>
      </c>
      <c r="M179" s="15">
        <v>1160.7</v>
      </c>
      <c r="N179" s="15">
        <v>51.9</v>
      </c>
      <c r="O179" s="15">
        <f>((M179*K178)-(N179*J179))/K179</f>
        <v>1449.3936585365855</v>
      </c>
      <c r="P179" s="15">
        <f>(1-N179/M179)*100</f>
        <v>95.528560351512013</v>
      </c>
      <c r="Q179" s="15">
        <v>43.2</v>
      </c>
      <c r="R179" s="15">
        <f>R178-Q179</f>
        <v>163.89999999999998</v>
      </c>
      <c r="S179" s="15">
        <f t="shared" ref="S179:S181" si="80">Q179/1000/$B$2</f>
        <v>29.508196721311478</v>
      </c>
      <c r="T179" s="15">
        <v>1163.5999999999999</v>
      </c>
      <c r="U179" s="15">
        <v>47.3</v>
      </c>
      <c r="V179" s="15">
        <f>((T179*R178)-(U179*Q179))/R179</f>
        <v>1457.8291641244662</v>
      </c>
      <c r="W179" s="15">
        <f>(1-U179/T179)*100</f>
        <v>95.935029219663122</v>
      </c>
      <c r="X179" s="30">
        <f>AVERAGE(L179,S179)</f>
        <v>29.337431693989075</v>
      </c>
      <c r="Y179" s="30">
        <f>STDEV(L179,S179)</f>
        <v>0.24149821761835738</v>
      </c>
      <c r="Z179" s="30">
        <f>AVERAGE(P179,W179)</f>
        <v>95.731794785587567</v>
      </c>
      <c r="AA179" s="30">
        <f>STDEV(P179,W179)</f>
        <v>0.28741689301086959</v>
      </c>
      <c r="AB179" s="30">
        <f>L179/L176</f>
        <v>0.89894736842105272</v>
      </c>
      <c r="AC179" s="30">
        <f>S179/S176</f>
        <v>0.90000000000000013</v>
      </c>
      <c r="AD179" s="30">
        <f>X179/X176</f>
        <v>0.89947643979057612</v>
      </c>
      <c r="AE179" s="30">
        <f>STDEV(AB179,AC179)</f>
        <v>7.4432292756482059E-4</v>
      </c>
      <c r="AF179" s="30">
        <f>P179/P176</f>
        <v>0.98991679789824272</v>
      </c>
      <c r="AG179" s="30">
        <f>W179/W176</f>
        <v>0.99004416348235202</v>
      </c>
      <c r="AH179" s="30">
        <f>Z179/Z176</f>
        <v>0.98998061178956798</v>
      </c>
      <c r="AI179" s="30">
        <f>STDEV(AF179,AG179)</f>
        <v>9.006106821347647E-5</v>
      </c>
    </row>
    <row r="180" spans="1:35" x14ac:dyDescent="0.2">
      <c r="A180" s="15" t="s">
        <v>1</v>
      </c>
      <c r="B180" s="15">
        <v>30</v>
      </c>
      <c r="C180" s="15">
        <v>10</v>
      </c>
      <c r="D180" s="15">
        <v>3000</v>
      </c>
      <c r="E180" s="15">
        <v>12</v>
      </c>
      <c r="F180" s="15" t="s">
        <v>103</v>
      </c>
      <c r="G180" s="15">
        <v>60</v>
      </c>
      <c r="H180" s="15">
        <v>1</v>
      </c>
      <c r="I180" s="15">
        <v>1</v>
      </c>
      <c r="J180" s="15">
        <v>48.2</v>
      </c>
      <c r="K180" s="15">
        <f>$B$3-J180</f>
        <v>201.8</v>
      </c>
      <c r="L180" s="15">
        <f t="shared" si="79"/>
        <v>32.923497267759565</v>
      </c>
      <c r="M180" s="15">
        <v>1000</v>
      </c>
      <c r="N180" s="15">
        <v>18</v>
      </c>
      <c r="O180" s="15">
        <f>((M180*$B$3)-(N180*J180))/K180</f>
        <v>1234.5510406342912</v>
      </c>
      <c r="P180" s="15">
        <f t="shared" ref="P180:P181" si="81">(1-N180/M180)*100</f>
        <v>98.2</v>
      </c>
      <c r="Q180" s="15">
        <v>48.7</v>
      </c>
      <c r="R180" s="15">
        <f>$B$3-Q180</f>
        <v>201.3</v>
      </c>
      <c r="S180" s="15">
        <f t="shared" si="80"/>
        <v>33.265027322404372</v>
      </c>
      <c r="T180" s="15">
        <v>1000</v>
      </c>
      <c r="U180" s="15">
        <v>12</v>
      </c>
      <c r="V180" s="15">
        <f>((T180*$B$3)-(U180*Q180))/R180</f>
        <v>1239.0243417784402</v>
      </c>
      <c r="W180" s="15">
        <f t="shared" ref="W180:W181" si="82">(1-U180/T180)*100</f>
        <v>98.8</v>
      </c>
      <c r="X180" s="30">
        <f>AVERAGE(L180,S180)</f>
        <v>33.094262295081968</v>
      </c>
      <c r="Y180" s="30">
        <f>STDEV(L180,S180)</f>
        <v>0.24149821761835485</v>
      </c>
      <c r="Z180" s="30">
        <f>AVERAGE(P180,W180)</f>
        <v>98.5</v>
      </c>
      <c r="AA180" s="30">
        <f>STDEV(P180,W180)</f>
        <v>0.42426406871192446</v>
      </c>
    </row>
    <row r="181" spans="1:35" x14ac:dyDescent="0.2">
      <c r="A181" s="15" t="s">
        <v>1</v>
      </c>
      <c r="B181" s="15">
        <v>30</v>
      </c>
      <c r="C181" s="15">
        <v>10</v>
      </c>
      <c r="D181" s="15">
        <v>3000</v>
      </c>
      <c r="E181" s="15">
        <v>12</v>
      </c>
      <c r="F181" s="15" t="s">
        <v>103</v>
      </c>
      <c r="G181" s="15">
        <v>120</v>
      </c>
      <c r="H181" s="15">
        <v>2</v>
      </c>
      <c r="I181" s="15">
        <v>1</v>
      </c>
      <c r="J181" s="15">
        <v>48.3</v>
      </c>
      <c r="K181" s="15">
        <f>K180-J181</f>
        <v>153.5</v>
      </c>
      <c r="L181" s="15">
        <f t="shared" si="79"/>
        <v>32.991803278688522</v>
      </c>
      <c r="M181" s="15">
        <v>1188.2</v>
      </c>
      <c r="N181" s="15">
        <v>11.9</v>
      </c>
      <c r="O181" s="15">
        <f>((M181*K180)-(N181*J181))/K181</f>
        <v>1558.3321824104237</v>
      </c>
      <c r="P181" s="15">
        <f t="shared" si="81"/>
        <v>98.998485103517936</v>
      </c>
      <c r="Q181" s="15">
        <v>48</v>
      </c>
      <c r="R181" s="15">
        <f>R180-Q181</f>
        <v>153.30000000000001</v>
      </c>
      <c r="S181" s="15">
        <f t="shared" si="80"/>
        <v>32.786885245901637</v>
      </c>
      <c r="T181" s="15">
        <v>1192.4000000000001</v>
      </c>
      <c r="U181" s="15">
        <v>9.5</v>
      </c>
      <c r="V181" s="15">
        <f>((T181*R180)-(U181*Q181))/R181</f>
        <v>1562.7796477495108</v>
      </c>
      <c r="W181" s="15">
        <f t="shared" si="82"/>
        <v>99.20328748742034</v>
      </c>
      <c r="X181" s="30">
        <f>AVERAGE(L181,S181)</f>
        <v>32.889344262295083</v>
      </c>
      <c r="Y181" s="30">
        <f>STDEV(L181,S181)</f>
        <v>0.14489893057101391</v>
      </c>
      <c r="Z181" s="30">
        <f>AVERAGE(P181,W181)</f>
        <v>99.100886295469138</v>
      </c>
      <c r="AA181" s="30">
        <f>STDEV(P181,W181)</f>
        <v>0.14481715446056051</v>
      </c>
    </row>
    <row r="182" spans="1:35" x14ac:dyDescent="0.2">
      <c r="A182" s="15" t="s">
        <v>1</v>
      </c>
      <c r="B182" s="15">
        <v>30</v>
      </c>
      <c r="C182" s="15">
        <v>10</v>
      </c>
      <c r="D182" s="15">
        <v>3000</v>
      </c>
      <c r="E182" s="15">
        <v>12</v>
      </c>
      <c r="F182" s="15" t="s">
        <v>83</v>
      </c>
      <c r="G182" s="15">
        <v>720</v>
      </c>
      <c r="H182" s="15">
        <v>12</v>
      </c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35" x14ac:dyDescent="0.2">
      <c r="A183" s="15" t="s">
        <v>1</v>
      </c>
      <c r="B183" s="15">
        <v>30</v>
      </c>
      <c r="C183" s="15">
        <v>10</v>
      </c>
      <c r="D183" s="15">
        <v>3000</v>
      </c>
      <c r="E183" s="15">
        <v>12</v>
      </c>
      <c r="F183" s="15" t="s">
        <v>104</v>
      </c>
      <c r="G183" s="15">
        <v>60</v>
      </c>
      <c r="H183" s="15">
        <v>1</v>
      </c>
      <c r="I183" s="15">
        <v>1</v>
      </c>
      <c r="J183" s="15">
        <v>48.1</v>
      </c>
      <c r="K183" s="15">
        <f>$B$3-J183</f>
        <v>201.9</v>
      </c>
      <c r="L183" s="15">
        <f>J183/1000/$B$2</f>
        <v>32.855191256830601</v>
      </c>
      <c r="M183" s="15">
        <v>1000</v>
      </c>
      <c r="N183" s="15">
        <v>24.8</v>
      </c>
      <c r="O183" s="15">
        <f>((M183*$B$3)-(N183*J183))/K183</f>
        <v>1232.32847944527</v>
      </c>
      <c r="P183" s="15">
        <f>(1-N183/M183)*100</f>
        <v>97.52</v>
      </c>
      <c r="Q183" s="15">
        <v>48.7</v>
      </c>
      <c r="R183" s="15">
        <f>$B$3-Q183</f>
        <v>201.3</v>
      </c>
      <c r="S183" s="15">
        <f>Q183/1000/$B$2</f>
        <v>33.265027322404372</v>
      </c>
      <c r="T183" s="15">
        <v>1000</v>
      </c>
      <c r="U183" s="15">
        <v>18.8</v>
      </c>
      <c r="V183" s="15">
        <f>((T183*$B$3)-(U183*Q183))/R183</f>
        <v>1237.3792349726775</v>
      </c>
      <c r="W183" s="15">
        <f>(1-U183/T183)*100</f>
        <v>98.11999999999999</v>
      </c>
      <c r="X183" s="30">
        <f>AVERAGE(L183,S183)</f>
        <v>33.060109289617486</v>
      </c>
      <c r="Y183" s="30">
        <f>STDEV(L183,S183)</f>
        <v>0.28979786114202782</v>
      </c>
      <c r="Z183" s="30">
        <f>AVERAGE(P183,W183)</f>
        <v>97.82</v>
      </c>
      <c r="AA183" s="30">
        <f>STDEV(P183,W183)</f>
        <v>0.42426406871192446</v>
      </c>
    </row>
    <row r="184" spans="1:35" x14ac:dyDescent="0.2">
      <c r="A184" s="15" t="s">
        <v>1</v>
      </c>
      <c r="B184" s="15">
        <v>30</v>
      </c>
      <c r="C184" s="15">
        <v>10</v>
      </c>
      <c r="D184" s="15">
        <v>3000</v>
      </c>
      <c r="E184" s="15">
        <v>12</v>
      </c>
      <c r="F184" s="15" t="s">
        <v>104</v>
      </c>
      <c r="G184" s="15">
        <v>120</v>
      </c>
      <c r="H184" s="15">
        <v>2</v>
      </c>
      <c r="I184" s="15">
        <v>1</v>
      </c>
      <c r="J184" s="15">
        <v>48.5</v>
      </c>
      <c r="K184" s="15">
        <f>K183-J184</f>
        <v>153.4</v>
      </c>
      <c r="L184" s="15">
        <f t="shared" ref="L184:L186" si="83">J184/1000/$B$2</f>
        <v>33.12841530054645</v>
      </c>
      <c r="M184" s="15">
        <v>1185.9000000000001</v>
      </c>
      <c r="N184" s="15">
        <v>36.5</v>
      </c>
      <c r="O184" s="15">
        <f>((M184*K183)-(N184*J184))/K184</f>
        <v>1549.3022164276401</v>
      </c>
      <c r="P184" s="15">
        <f>(1-N184/M184)*100</f>
        <v>96.922168816932285</v>
      </c>
      <c r="Q184" s="15">
        <v>47.9</v>
      </c>
      <c r="R184" s="15">
        <f>R183-Q184</f>
        <v>153.4</v>
      </c>
      <c r="S184" s="15">
        <f t="shared" ref="S184:S186" si="84">Q184/1000/$B$2</f>
        <v>32.718579234972673</v>
      </c>
      <c r="T184" s="15">
        <v>1189.5</v>
      </c>
      <c r="U184" s="15">
        <v>31.9</v>
      </c>
      <c r="V184" s="15">
        <f>((T184*R183)-(U184*Q184))/R184</f>
        <v>1550.9670143415906</v>
      </c>
      <c r="W184" s="15">
        <f>(1-U184/T184)*100</f>
        <v>97.318200924758301</v>
      </c>
      <c r="X184" s="30">
        <f>AVERAGE(L184,S184)</f>
        <v>32.923497267759558</v>
      </c>
      <c r="Y184" s="30">
        <f>STDEV(L184,S184)</f>
        <v>0.28979786114203288</v>
      </c>
      <c r="Z184" s="30">
        <f>AVERAGE(P184,W184)</f>
        <v>97.120184870845293</v>
      </c>
      <c r="AA184" s="30">
        <f>STDEV(P184,W184)</f>
        <v>0.28003698901137825</v>
      </c>
      <c r="AB184" s="30">
        <f>L184/L181</f>
        <v>1.0041407867494825</v>
      </c>
      <c r="AC184" s="30">
        <f>S184/S181</f>
        <v>0.99791666666666656</v>
      </c>
      <c r="AD184" s="30">
        <f>X184/X181</f>
        <v>1.001038421599169</v>
      </c>
      <c r="AE184" s="30">
        <f>STDEV(AB184,AC184)</f>
        <v>4.4011175174785127E-3</v>
      </c>
      <c r="AF184" s="30">
        <f>P184/P181</f>
        <v>0.97902678728452719</v>
      </c>
      <c r="AG184" s="30">
        <f>W184/W181</f>
        <v>0.98099774099823978</v>
      </c>
      <c r="AH184" s="30">
        <f>Z184/Z181</f>
        <v>0.98001328243706731</v>
      </c>
      <c r="AI184" s="30">
        <f>STDEV(AF184,AG184)</f>
        <v>1.3936747363709791E-3</v>
      </c>
    </row>
    <row r="185" spans="1:35" x14ac:dyDescent="0.2">
      <c r="A185" s="15" t="s">
        <v>0</v>
      </c>
      <c r="B185" s="15">
        <v>30</v>
      </c>
      <c r="C185" s="15">
        <v>10</v>
      </c>
      <c r="D185" s="15">
        <v>3000</v>
      </c>
      <c r="E185" s="15">
        <v>12</v>
      </c>
      <c r="F185" s="15" t="s">
        <v>103</v>
      </c>
      <c r="G185" s="15">
        <v>60</v>
      </c>
      <c r="H185" s="15">
        <v>1</v>
      </c>
      <c r="I185" s="15">
        <v>1</v>
      </c>
      <c r="J185" s="15">
        <v>49.1</v>
      </c>
      <c r="K185" s="15">
        <f>$B$3-J185</f>
        <v>200.9</v>
      </c>
      <c r="L185" s="15">
        <f t="shared" si="83"/>
        <v>33.538251366120221</v>
      </c>
      <c r="M185" s="15">
        <v>1000</v>
      </c>
      <c r="N185" s="15">
        <v>14</v>
      </c>
      <c r="O185" s="15">
        <f>((M185*$B$3)-(N185*J185))/K185</f>
        <v>1240.9785963165755</v>
      </c>
      <c r="P185" s="15">
        <f t="shared" ref="P185:P186" si="85">(1-N185/M185)*100</f>
        <v>98.6</v>
      </c>
      <c r="Q185" s="15">
        <v>48.8</v>
      </c>
      <c r="R185" s="15">
        <f>$B$3-Q185</f>
        <v>201.2</v>
      </c>
      <c r="S185" s="15">
        <f t="shared" si="84"/>
        <v>33.333333333333329</v>
      </c>
      <c r="T185" s="15">
        <v>1000</v>
      </c>
      <c r="U185" s="15">
        <v>12</v>
      </c>
      <c r="V185" s="15">
        <f>((T185*$B$3)-(U185*Q185))/R185</f>
        <v>1239.6341948310139</v>
      </c>
      <c r="W185" s="15">
        <f t="shared" ref="W185:W186" si="86">(1-U185/T185)*100</f>
        <v>98.8</v>
      </c>
      <c r="X185" s="30">
        <f>AVERAGE(L185,S185)</f>
        <v>33.435792349726775</v>
      </c>
      <c r="Y185" s="30">
        <f>STDEV(L185,S185)</f>
        <v>0.14489893057101894</v>
      </c>
      <c r="Z185" s="30">
        <f>AVERAGE(P185,W185)</f>
        <v>98.699999999999989</v>
      </c>
      <c r="AA185" s="30">
        <f>STDEV(P185,W185)</f>
        <v>0.14142135623731153</v>
      </c>
    </row>
    <row r="186" spans="1:35" x14ac:dyDescent="0.2">
      <c r="A186" s="15" t="s">
        <v>0</v>
      </c>
      <c r="B186" s="15">
        <v>30</v>
      </c>
      <c r="C186" s="15">
        <v>10</v>
      </c>
      <c r="D186" s="15">
        <v>3000</v>
      </c>
      <c r="E186" s="15">
        <v>12</v>
      </c>
      <c r="F186" s="15" t="s">
        <v>103</v>
      </c>
      <c r="G186" s="15">
        <v>120</v>
      </c>
      <c r="H186" s="15">
        <v>2</v>
      </c>
      <c r="I186" s="15">
        <v>1</v>
      </c>
      <c r="J186" s="15">
        <v>48.4</v>
      </c>
      <c r="K186" s="15">
        <f>K185-J186</f>
        <v>152.5</v>
      </c>
      <c r="L186" s="15">
        <f t="shared" si="83"/>
        <v>33.060109289617486</v>
      </c>
      <c r="M186" s="15">
        <v>1186.3</v>
      </c>
      <c r="N186" s="15">
        <v>11.9</v>
      </c>
      <c r="O186" s="15">
        <f>((M186*K185)-(N186*J186))/K186</f>
        <v>1559.0276065573769</v>
      </c>
      <c r="P186" s="15">
        <f t="shared" si="85"/>
        <v>98.996881058754099</v>
      </c>
      <c r="Q186" s="15">
        <v>48.8</v>
      </c>
      <c r="R186" s="15">
        <f>R185-Q186</f>
        <v>152.39999999999998</v>
      </c>
      <c r="S186" s="15">
        <f t="shared" si="84"/>
        <v>33.333333333333329</v>
      </c>
      <c r="T186" s="15">
        <v>1188.7</v>
      </c>
      <c r="U186" s="15">
        <v>7.1</v>
      </c>
      <c r="V186" s="15">
        <f>((T186*R185)-(U186*Q186))/R186</f>
        <v>1567.0601049868769</v>
      </c>
      <c r="W186" s="15">
        <f t="shared" si="86"/>
        <v>99.402708841591661</v>
      </c>
      <c r="X186" s="30">
        <f>AVERAGE(L186,S186)</f>
        <v>33.196721311475407</v>
      </c>
      <c r="Y186" s="30">
        <f>STDEV(L186,S186)</f>
        <v>0.19319857409468189</v>
      </c>
      <c r="Z186" s="30">
        <f>AVERAGE(P186,W186)</f>
        <v>99.199794950172873</v>
      </c>
      <c r="AA186" s="30">
        <f>STDEV(P186,W186)</f>
        <v>0.28696357723834187</v>
      </c>
    </row>
    <row r="187" spans="1:35" x14ac:dyDescent="0.2">
      <c r="A187" s="15" t="s">
        <v>0</v>
      </c>
      <c r="B187" s="15">
        <v>30</v>
      </c>
      <c r="C187" s="15">
        <v>10</v>
      </c>
      <c r="D187" s="15">
        <v>3000</v>
      </c>
      <c r="E187" s="15">
        <v>12</v>
      </c>
      <c r="F187" s="15" t="s">
        <v>83</v>
      </c>
      <c r="G187" s="15">
        <v>720</v>
      </c>
      <c r="H187" s="15">
        <v>12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35" x14ac:dyDescent="0.2">
      <c r="A188" s="15" t="s">
        <v>0</v>
      </c>
      <c r="B188" s="15">
        <v>30</v>
      </c>
      <c r="C188" s="15">
        <v>10</v>
      </c>
      <c r="D188" s="15">
        <v>3000</v>
      </c>
      <c r="E188" s="15">
        <v>12</v>
      </c>
      <c r="F188" s="15" t="s">
        <v>104</v>
      </c>
      <c r="G188" s="15">
        <v>60</v>
      </c>
      <c r="H188" s="15">
        <v>1</v>
      </c>
      <c r="I188" s="15">
        <v>1</v>
      </c>
      <c r="J188" s="15">
        <v>49.2</v>
      </c>
      <c r="K188" s="15">
        <f>($B$3-J188)</f>
        <v>200.8</v>
      </c>
      <c r="L188" s="15">
        <f>J188/1000/$B$2</f>
        <v>33.606557377049178</v>
      </c>
      <c r="M188" s="15">
        <v>1000</v>
      </c>
      <c r="N188" s="15">
        <v>11.9</v>
      </c>
      <c r="O188" s="15">
        <f>((M188*$B$3)-(N188*J188))/K188</f>
        <v>1242.1041832669321</v>
      </c>
      <c r="P188" s="15">
        <f>(1-N188/M188)*100</f>
        <v>98.81</v>
      </c>
      <c r="Q188" s="15">
        <v>48.6</v>
      </c>
      <c r="R188" s="15">
        <f>($B$3-Q188)</f>
        <v>201.4</v>
      </c>
      <c r="S188" s="15">
        <f>Q188/1000/$B$2</f>
        <v>33.196721311475414</v>
      </c>
      <c r="T188" s="15">
        <v>1000</v>
      </c>
      <c r="U188" s="15">
        <v>11.9</v>
      </c>
      <c r="V188" s="15">
        <f>((T188*$B$3)-(U188*Q188))/R188</f>
        <v>1238.4392254220456</v>
      </c>
      <c r="W188" s="15">
        <f>(1-U188/T188)*100</f>
        <v>98.81</v>
      </c>
      <c r="X188" s="30">
        <f>AVERAGE(L188,S188)</f>
        <v>33.401639344262293</v>
      </c>
      <c r="Y188" s="30">
        <f>STDEV(L188,S188)</f>
        <v>0.28979786114202283</v>
      </c>
      <c r="Z188" s="30">
        <f>AVERAGE(P188,W188)</f>
        <v>98.81</v>
      </c>
      <c r="AA188" s="30">
        <f>STDEV(P188,W188)</f>
        <v>0</v>
      </c>
    </row>
    <row r="189" spans="1:35" x14ac:dyDescent="0.2">
      <c r="A189" s="15" t="s">
        <v>0</v>
      </c>
      <c r="B189" s="15">
        <v>30</v>
      </c>
      <c r="C189" s="15">
        <v>10</v>
      </c>
      <c r="D189" s="15">
        <v>3000</v>
      </c>
      <c r="E189" s="15">
        <v>12</v>
      </c>
      <c r="F189" s="15" t="s">
        <v>104</v>
      </c>
      <c r="G189" s="15">
        <v>120</v>
      </c>
      <c r="H189" s="15">
        <v>2</v>
      </c>
      <c r="I189" s="15">
        <v>1</v>
      </c>
      <c r="J189" s="15">
        <v>48.4</v>
      </c>
      <c r="K189" s="15">
        <f>K188-J189</f>
        <v>152.4</v>
      </c>
      <c r="L189" s="15">
        <f>J189/1000/$B$2</f>
        <v>33.060109289617486</v>
      </c>
      <c r="M189" s="15">
        <v>1186.9000000000001</v>
      </c>
      <c r="N189" s="15">
        <v>23.6</v>
      </c>
      <c r="O189" s="15">
        <f>((M189*K188)-(N189*J189))/K189</f>
        <v>1556.3469816272966</v>
      </c>
      <c r="P189" s="15">
        <f>(1-N189/M189)*100</f>
        <v>98.011626927289569</v>
      </c>
      <c r="Q189" s="15">
        <v>48.8</v>
      </c>
      <c r="R189" s="15">
        <f>R188-Q189</f>
        <v>152.60000000000002</v>
      </c>
      <c r="S189" s="15">
        <f>Q189/1000/$B$2</f>
        <v>33.333333333333329</v>
      </c>
      <c r="T189" s="15">
        <v>1189.9000000000001</v>
      </c>
      <c r="U189" s="15">
        <v>18.899999999999999</v>
      </c>
      <c r="V189" s="15">
        <f>((T189*R188)-(U189*Q189))/R189</f>
        <v>1564.3744429882042</v>
      </c>
      <c r="W189" s="15">
        <f>(1-U189/T189)*100</f>
        <v>98.411631229515081</v>
      </c>
      <c r="X189" s="30">
        <f>AVERAGE(L189,S189)</f>
        <v>33.196721311475407</v>
      </c>
      <c r="Y189" s="30">
        <f>STDEV(L189,S189)</f>
        <v>0.19319857409468189</v>
      </c>
      <c r="Z189" s="30">
        <f>AVERAGE(P189,W189)</f>
        <v>98.211629078402325</v>
      </c>
      <c r="AA189" s="30">
        <f>STDEV(P189,W189)</f>
        <v>0.28284575460745226</v>
      </c>
      <c r="AB189" s="30">
        <f>L189/L186</f>
        <v>1</v>
      </c>
      <c r="AC189" s="30">
        <f>S189/S186</f>
        <v>1</v>
      </c>
      <c r="AD189" s="30">
        <f>X189/X186</f>
        <v>1</v>
      </c>
      <c r="AE189" s="30">
        <f>STDEV(AB189,AC189)</f>
        <v>0</v>
      </c>
      <c r="AF189" s="30">
        <f>P189/P186</f>
        <v>0.99004762452182926</v>
      </c>
      <c r="AG189" s="30">
        <f>W189/W186</f>
        <v>0.99002967199157554</v>
      </c>
      <c r="AH189" s="30">
        <f>Z189/Z186</f>
        <v>0.99003862989568781</v>
      </c>
      <c r="AI189" s="30">
        <f>STDEV(AF189,AG189)</f>
        <v>1.2694355881860344E-5</v>
      </c>
    </row>
    <row r="190" spans="1:35" x14ac:dyDescent="0.2">
      <c r="A190" s="38" t="s">
        <v>81</v>
      </c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35" x14ac:dyDescent="0.2">
      <c r="A191" s="15" t="s">
        <v>5</v>
      </c>
      <c r="B191" s="15">
        <v>12</v>
      </c>
      <c r="C191" s="15">
        <v>10</v>
      </c>
      <c r="D191" s="15">
        <v>6000</v>
      </c>
      <c r="E191" s="15">
        <v>24</v>
      </c>
      <c r="F191" s="15" t="s">
        <v>103</v>
      </c>
      <c r="G191" s="15">
        <v>60</v>
      </c>
      <c r="H191" s="15">
        <v>1</v>
      </c>
      <c r="I191" s="15">
        <v>1</v>
      </c>
      <c r="J191" s="15">
        <v>48.2</v>
      </c>
      <c r="K191" s="15">
        <f>($B$3-J191)</f>
        <v>201.8</v>
      </c>
      <c r="L191" s="15">
        <f>J191/1000/$B$2</f>
        <v>32.923497267759565</v>
      </c>
      <c r="M191" s="15">
        <v>1000</v>
      </c>
      <c r="N191" s="15">
        <v>24</v>
      </c>
      <c r="O191" s="15">
        <f>((M191*$B$3)-(N191*J191))/K191</f>
        <v>1233.1179385530229</v>
      </c>
      <c r="P191" s="15">
        <f>(1-N191/M191)*100</f>
        <v>97.6</v>
      </c>
      <c r="Q191" s="15">
        <v>48.5</v>
      </c>
      <c r="R191" s="15">
        <f>($B$3-Q191)</f>
        <v>201.5</v>
      </c>
      <c r="S191" s="15">
        <f>Q191/1000/$B$2</f>
        <v>33.12841530054645</v>
      </c>
      <c r="T191" s="15">
        <v>1000</v>
      </c>
      <c r="U191" s="15">
        <v>20</v>
      </c>
      <c r="V191" s="15">
        <f>((T191*$B$3)-(U191*Q191))/R191</f>
        <v>1235.8808933002481</v>
      </c>
      <c r="W191" s="15">
        <f>(1-U191/T191)*100</f>
        <v>98</v>
      </c>
      <c r="X191" s="30">
        <f>AVERAGE(L191,S191)</f>
        <v>33.025956284153011</v>
      </c>
      <c r="Y191" s="30">
        <f>STDEV(L191,S191)</f>
        <v>0.14489893057101391</v>
      </c>
      <c r="Z191" s="30">
        <f>AVERAGE(P191,W191)</f>
        <v>97.8</v>
      </c>
      <c r="AA191" s="30">
        <f>STDEV(P191,W191)</f>
        <v>0.28284271247462306</v>
      </c>
    </row>
    <row r="192" spans="1:35" x14ac:dyDescent="0.2">
      <c r="A192" s="15" t="s">
        <v>5</v>
      </c>
      <c r="B192" s="15">
        <v>12</v>
      </c>
      <c r="C192" s="15">
        <v>10</v>
      </c>
      <c r="D192" s="15">
        <v>6000</v>
      </c>
      <c r="E192" s="15">
        <v>24</v>
      </c>
      <c r="F192" s="15" t="s">
        <v>103</v>
      </c>
      <c r="G192" s="15">
        <v>120</v>
      </c>
      <c r="H192" s="15">
        <v>2</v>
      </c>
      <c r="I192" s="15">
        <v>1</v>
      </c>
      <c r="J192" s="15">
        <v>48.4</v>
      </c>
      <c r="K192" s="15">
        <f>K191-J192</f>
        <v>153.4</v>
      </c>
      <c r="L192" s="15">
        <f>J192/1000/$B$2</f>
        <v>33.060109289617486</v>
      </c>
      <c r="M192" s="15">
        <v>1183.0999999999999</v>
      </c>
      <c r="N192" s="15">
        <v>35.5</v>
      </c>
      <c r="O192" s="15">
        <f>((M192*K191)-(N192*J192))/K192</f>
        <v>1545.1850065189046</v>
      </c>
      <c r="P192" s="15">
        <f>(1-N192/M192)*100</f>
        <v>96.999408334037696</v>
      </c>
      <c r="Q192" s="15">
        <v>47.9</v>
      </c>
      <c r="R192" s="15">
        <f>R191-Q192</f>
        <v>153.6</v>
      </c>
      <c r="S192" s="15">
        <f>Q192/1000/$B$2</f>
        <v>32.718579234972673</v>
      </c>
      <c r="T192" s="15">
        <v>1186.2</v>
      </c>
      <c r="U192" s="15">
        <v>33.200000000000003</v>
      </c>
      <c r="V192" s="15">
        <f>((T192*R191)-(U192*Q192))/R192</f>
        <v>1545.7618489583335</v>
      </c>
      <c r="W192" s="15">
        <f>(1-U192/T192)*100</f>
        <v>97.201146518293712</v>
      </c>
      <c r="X192" s="30">
        <f>AVERAGE(L192,S192)</f>
        <v>32.889344262295083</v>
      </c>
      <c r="Y192" s="30">
        <f>STDEV(L192,S192)</f>
        <v>0.24149821761835988</v>
      </c>
      <c r="Z192" s="30">
        <f>AVERAGE(P192,W192)</f>
        <v>97.100277426165704</v>
      </c>
      <c r="AA192" s="30">
        <f>STDEV(P192,W192)</f>
        <v>0.14265043811168979</v>
      </c>
    </row>
    <row r="193" spans="1:35" x14ac:dyDescent="0.2">
      <c r="A193" s="15" t="s">
        <v>5</v>
      </c>
      <c r="B193" s="15">
        <v>12</v>
      </c>
      <c r="C193" s="15">
        <v>10</v>
      </c>
      <c r="D193" s="15">
        <v>6000</v>
      </c>
      <c r="E193" s="15">
        <v>24</v>
      </c>
      <c r="F193" s="15" t="s">
        <v>83</v>
      </c>
      <c r="G193" s="15">
        <v>1440</v>
      </c>
      <c r="H193" s="15">
        <v>24</v>
      </c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35" x14ac:dyDescent="0.2">
      <c r="A194" s="15" t="s">
        <v>5</v>
      </c>
      <c r="B194" s="15">
        <v>12</v>
      </c>
      <c r="C194" s="15">
        <v>10</v>
      </c>
      <c r="D194" s="15">
        <v>6000</v>
      </c>
      <c r="E194" s="15">
        <v>24</v>
      </c>
      <c r="F194" s="15" t="s">
        <v>104</v>
      </c>
      <c r="G194" s="15">
        <v>60</v>
      </c>
      <c r="H194" s="15">
        <v>1</v>
      </c>
      <c r="I194" s="15">
        <v>1</v>
      </c>
      <c r="J194" s="15">
        <v>43.5</v>
      </c>
      <c r="K194" s="15">
        <f>$B$3-J194</f>
        <v>206.5</v>
      </c>
      <c r="L194" s="15">
        <f>J194/1000/$B$2</f>
        <v>29.71311475409836</v>
      </c>
      <c r="M194" s="15">
        <v>1000</v>
      </c>
      <c r="N194" s="15">
        <v>46.4</v>
      </c>
      <c r="O194" s="15">
        <f>((M194*$B$3)-(N194*J194))/K194</f>
        <v>1200.8794188861987</v>
      </c>
      <c r="P194" s="15">
        <f>(1-N194/M194)*100</f>
        <v>95.36</v>
      </c>
      <c r="Q194" s="15">
        <v>43.9</v>
      </c>
      <c r="R194" s="15">
        <f>$B$3-Q194</f>
        <v>206.1</v>
      </c>
      <c r="S194" s="15">
        <f>Q194/1000/$B$2</f>
        <v>29.986338797814209</v>
      </c>
      <c r="T194" s="15">
        <v>1000</v>
      </c>
      <c r="U194" s="15">
        <v>40.4</v>
      </c>
      <c r="V194" s="15">
        <f>((T194*$B$3)-(U194*Q194))/R194</f>
        <v>1204.3980591945658</v>
      </c>
      <c r="W194" s="15">
        <f>(1-U194/T194)*100</f>
        <v>95.960000000000008</v>
      </c>
      <c r="X194" s="30">
        <f>AVERAGE(L194,S194)</f>
        <v>29.849726775956285</v>
      </c>
      <c r="Y194" s="30">
        <f>STDEV(L194,S194)</f>
        <v>0.19319857409468688</v>
      </c>
      <c r="Z194" s="30">
        <f>AVERAGE(P194,W194)</f>
        <v>95.66</v>
      </c>
      <c r="AA194" s="30">
        <f>STDEV(P194,W194)</f>
        <v>0.42426406871193451</v>
      </c>
    </row>
    <row r="195" spans="1:35" x14ac:dyDescent="0.2">
      <c r="A195" s="15" t="s">
        <v>5</v>
      </c>
      <c r="B195" s="15">
        <v>12</v>
      </c>
      <c r="C195" s="15">
        <v>10</v>
      </c>
      <c r="D195" s="15">
        <v>6000</v>
      </c>
      <c r="E195" s="15">
        <v>24</v>
      </c>
      <c r="F195" s="15" t="s">
        <v>104</v>
      </c>
      <c r="G195" s="15">
        <v>120</v>
      </c>
      <c r="H195" s="15">
        <v>2</v>
      </c>
      <c r="I195" s="15">
        <v>1</v>
      </c>
      <c r="J195" s="15">
        <v>43.6</v>
      </c>
      <c r="K195" s="15">
        <f>K194-J195</f>
        <v>162.9</v>
      </c>
      <c r="L195" s="15">
        <f t="shared" ref="L195:L197" si="87">J195/1000/$B$2</f>
        <v>29.78142076502732</v>
      </c>
      <c r="M195" s="15">
        <v>1158.7</v>
      </c>
      <c r="N195" s="15">
        <v>58.4</v>
      </c>
      <c r="O195" s="15">
        <f>((M195*K194)-(N195*J195))/K195</f>
        <v>1453.1940454266423</v>
      </c>
      <c r="P195" s="15">
        <f>(1-N195/M195)*100</f>
        <v>94.959868818503494</v>
      </c>
      <c r="Q195" s="15">
        <v>43.1</v>
      </c>
      <c r="R195" s="15">
        <f>R194-Q195</f>
        <v>163</v>
      </c>
      <c r="S195" s="15">
        <f t="shared" ref="S195:S197" si="88">Q195/1000/$B$2</f>
        <v>29.439890710382514</v>
      </c>
      <c r="T195" s="15">
        <v>1161.5</v>
      </c>
      <c r="U195" s="15">
        <v>53.9</v>
      </c>
      <c r="V195" s="15">
        <f>((T195*R194)-(U195*Q195))/R195</f>
        <v>1454.3684662576686</v>
      </c>
      <c r="W195" s="15">
        <f>(1-U195/T195)*100</f>
        <v>95.359448988377096</v>
      </c>
      <c r="X195" s="30">
        <f>AVERAGE(L195,S195)</f>
        <v>29.610655737704917</v>
      </c>
      <c r="Y195" s="30">
        <f>STDEV(L195,S195)</f>
        <v>0.24149821761835485</v>
      </c>
      <c r="Z195" s="30">
        <f>AVERAGE(P195,W195)</f>
        <v>95.159658903440288</v>
      </c>
      <c r="AA195" s="30">
        <f>STDEV(P195,W195)</f>
        <v>0.28254584774529634</v>
      </c>
      <c r="AB195" s="30">
        <f>L195/L192</f>
        <v>0.90082644628099173</v>
      </c>
      <c r="AC195" s="30">
        <f>S195/S192</f>
        <v>0.89979123173277675</v>
      </c>
      <c r="AD195" s="30">
        <f>X195/X192</f>
        <v>0.90031152647975077</v>
      </c>
      <c r="AE195" s="30">
        <f>STDEV(AB195,AC195)</f>
        <v>7.3200722702578046E-4</v>
      </c>
      <c r="AF195" s="30">
        <f>P195/P192</f>
        <v>0.97897369117437683</v>
      </c>
      <c r="AG195" s="30">
        <f>W195/W192</f>
        <v>0.98105271804000793</v>
      </c>
      <c r="AH195" s="30">
        <f>Z195/Z192</f>
        <v>0.98001428446791983</v>
      </c>
      <c r="AI195" s="30">
        <f>STDEV(AF195,AG195)</f>
        <v>1.4700939949567682E-3</v>
      </c>
    </row>
    <row r="196" spans="1:35" x14ac:dyDescent="0.2">
      <c r="A196" s="15" t="s">
        <v>1</v>
      </c>
      <c r="B196" s="15">
        <v>30</v>
      </c>
      <c r="C196" s="15">
        <v>10</v>
      </c>
      <c r="D196" s="15">
        <v>6000</v>
      </c>
      <c r="E196" s="15">
        <v>24</v>
      </c>
      <c r="F196" s="15" t="s">
        <v>103</v>
      </c>
      <c r="G196" s="15">
        <v>60</v>
      </c>
      <c r="H196" s="15">
        <v>1</v>
      </c>
      <c r="I196" s="15">
        <v>1</v>
      </c>
      <c r="J196" s="15">
        <v>48.3</v>
      </c>
      <c r="K196" s="15">
        <f>$B$3-J196</f>
        <v>201.7</v>
      </c>
      <c r="L196" s="15">
        <f t="shared" si="87"/>
        <v>32.991803278688522</v>
      </c>
      <c r="M196" s="15">
        <v>1000</v>
      </c>
      <c r="N196" s="15">
        <v>22</v>
      </c>
      <c r="O196" s="15">
        <f>((M196*$B$3)-(N196*J196))/K196</f>
        <v>1234.1963311849281</v>
      </c>
      <c r="P196" s="15">
        <f t="shared" ref="P196:P197" si="89">(1-N196/M196)*100</f>
        <v>97.8</v>
      </c>
      <c r="Q196" s="15">
        <v>47.9</v>
      </c>
      <c r="R196" s="15">
        <f>$B$3-Q196</f>
        <v>202.1</v>
      </c>
      <c r="S196" s="15">
        <f t="shared" si="88"/>
        <v>32.718579234972673</v>
      </c>
      <c r="T196" s="15">
        <v>1000</v>
      </c>
      <c r="U196" s="15">
        <v>14</v>
      </c>
      <c r="V196" s="15">
        <f>((T196*$B$3)-(U196*Q196))/R196</f>
        <v>1233.6932211776348</v>
      </c>
      <c r="W196" s="15">
        <f t="shared" ref="W196:W197" si="90">(1-U196/T196)*100</f>
        <v>98.6</v>
      </c>
      <c r="X196" s="30">
        <f>AVERAGE(L196,S196)</f>
        <v>32.855191256830594</v>
      </c>
      <c r="Y196" s="30">
        <f>STDEV(L196,S196)</f>
        <v>0.19319857409468688</v>
      </c>
      <c r="Z196" s="30">
        <f>AVERAGE(P196,W196)</f>
        <v>98.199999999999989</v>
      </c>
      <c r="AA196" s="30">
        <f>STDEV(P196,W196)</f>
        <v>0.56568542494923602</v>
      </c>
    </row>
    <row r="197" spans="1:35" x14ac:dyDescent="0.2">
      <c r="A197" s="15" t="s">
        <v>1</v>
      </c>
      <c r="B197" s="15">
        <v>30</v>
      </c>
      <c r="C197" s="15">
        <v>10</v>
      </c>
      <c r="D197" s="15">
        <v>6000</v>
      </c>
      <c r="E197" s="15">
        <v>24</v>
      </c>
      <c r="F197" s="15" t="s">
        <v>103</v>
      </c>
      <c r="G197" s="15">
        <v>120</v>
      </c>
      <c r="H197" s="15">
        <v>2</v>
      </c>
      <c r="I197" s="15">
        <v>1</v>
      </c>
      <c r="J197" s="15">
        <v>47.6</v>
      </c>
      <c r="K197" s="15">
        <f>K196-J197</f>
        <v>154.1</v>
      </c>
      <c r="L197" s="15">
        <f t="shared" si="87"/>
        <v>32.513661202185794</v>
      </c>
      <c r="M197" s="15">
        <v>1186.2</v>
      </c>
      <c r="N197" s="15">
        <v>16.600000000000001</v>
      </c>
      <c r="O197" s="15">
        <f>((M197*K196)-(N197*J197))/K197</f>
        <v>1547.478131083712</v>
      </c>
      <c r="P197" s="15">
        <f t="shared" si="89"/>
        <v>98.600573259146856</v>
      </c>
      <c r="Q197" s="15">
        <v>48.1</v>
      </c>
      <c r="R197" s="15">
        <f>R196-Q197</f>
        <v>154</v>
      </c>
      <c r="S197" s="15">
        <f t="shared" si="88"/>
        <v>32.855191256830601</v>
      </c>
      <c r="T197" s="15">
        <v>1190.5999999999999</v>
      </c>
      <c r="U197" s="15">
        <v>11.9</v>
      </c>
      <c r="V197" s="15">
        <f>((T197*R196)-(U197*Q197))/R197</f>
        <v>1558.7524025974024</v>
      </c>
      <c r="W197" s="15">
        <f t="shared" si="90"/>
        <v>99.000503947589451</v>
      </c>
      <c r="X197" s="30">
        <f>AVERAGE(L197,S197)</f>
        <v>32.684426229508198</v>
      </c>
      <c r="Y197" s="30">
        <f>STDEV(L197,S197)</f>
        <v>0.24149821761835485</v>
      </c>
      <c r="Z197" s="30">
        <f>AVERAGE(P197,W197)</f>
        <v>98.800538603368153</v>
      </c>
      <c r="AA197" s="30">
        <f>STDEV(P197,W197)</f>
        <v>0.28279370180236324</v>
      </c>
    </row>
    <row r="198" spans="1:35" x14ac:dyDescent="0.2">
      <c r="A198" s="15" t="s">
        <v>1</v>
      </c>
      <c r="B198" s="15">
        <v>30</v>
      </c>
      <c r="C198" s="15">
        <v>10</v>
      </c>
      <c r="D198" s="15">
        <v>6000</v>
      </c>
      <c r="E198" s="15">
        <v>24</v>
      </c>
      <c r="F198" s="15" t="s">
        <v>83</v>
      </c>
      <c r="G198" s="15">
        <v>1440</v>
      </c>
      <c r="H198" s="15">
        <v>24</v>
      </c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35" x14ac:dyDescent="0.2">
      <c r="A199" s="15" t="s">
        <v>1</v>
      </c>
      <c r="B199" s="15">
        <v>30</v>
      </c>
      <c r="C199" s="15">
        <v>10</v>
      </c>
      <c r="D199" s="15">
        <v>6000</v>
      </c>
      <c r="E199" s="15">
        <v>24</v>
      </c>
      <c r="F199" s="15" t="s">
        <v>104</v>
      </c>
      <c r="G199" s="15">
        <v>60</v>
      </c>
      <c r="H199" s="15">
        <v>1</v>
      </c>
      <c r="I199" s="15">
        <v>1</v>
      </c>
      <c r="J199" s="15">
        <v>48.3</v>
      </c>
      <c r="K199" s="15">
        <f>$B$3-J199</f>
        <v>201.7</v>
      </c>
      <c r="L199" s="15">
        <f>J199/1000/$B$2</f>
        <v>32.991803278688522</v>
      </c>
      <c r="M199" s="15">
        <v>1000</v>
      </c>
      <c r="N199" s="15">
        <v>27.8</v>
      </c>
      <c r="O199" s="15">
        <f>((M199*$B$3)-(N199*J199))/K199</f>
        <v>1232.807436787308</v>
      </c>
      <c r="P199" s="15">
        <f>(1-N199/M199)*100</f>
        <v>97.22</v>
      </c>
      <c r="Q199" s="15">
        <v>47.8</v>
      </c>
      <c r="R199" s="15">
        <f>$B$3-Q199</f>
        <v>202.2</v>
      </c>
      <c r="S199" s="15">
        <f>Q199/1000/$B$2</f>
        <v>32.650273224043715</v>
      </c>
      <c r="T199" s="15">
        <v>1000</v>
      </c>
      <c r="U199" s="15">
        <v>21.8</v>
      </c>
      <c r="V199" s="15">
        <f>((T199*$B$3)-(U199*Q199))/R199</f>
        <v>1231.2460929772503</v>
      </c>
      <c r="W199" s="15">
        <f>(1-U199/T199)*100</f>
        <v>97.82</v>
      </c>
      <c r="X199" s="30">
        <f>AVERAGE(L199,S199)</f>
        <v>32.821038251366119</v>
      </c>
      <c r="Y199" s="30">
        <f>STDEV(L199,S199)</f>
        <v>0.24149821761835485</v>
      </c>
      <c r="Z199" s="30">
        <f>AVERAGE(P199,W199)</f>
        <v>97.52</v>
      </c>
      <c r="AA199" s="30">
        <f>STDEV(P199,W199)</f>
        <v>0.42426406871192446</v>
      </c>
    </row>
    <row r="200" spans="1:35" x14ac:dyDescent="0.2">
      <c r="A200" s="15" t="s">
        <v>1</v>
      </c>
      <c r="B200" s="15">
        <v>30</v>
      </c>
      <c r="C200" s="15">
        <v>10</v>
      </c>
      <c r="D200" s="15">
        <v>6000</v>
      </c>
      <c r="E200" s="15">
        <v>24</v>
      </c>
      <c r="F200" s="15" t="s">
        <v>104</v>
      </c>
      <c r="G200" s="15">
        <v>120</v>
      </c>
      <c r="H200" s="15">
        <v>2</v>
      </c>
      <c r="I200" s="15">
        <v>1</v>
      </c>
      <c r="J200" s="15">
        <v>47.6</v>
      </c>
      <c r="K200" s="15">
        <f>K199-J200</f>
        <v>154.1</v>
      </c>
      <c r="L200" s="15">
        <f t="shared" ref="L200:L202" si="91">J200/1000/$B$2</f>
        <v>32.513661202185794</v>
      </c>
      <c r="M200" s="15">
        <v>1184</v>
      </c>
      <c r="N200" s="15">
        <v>40</v>
      </c>
      <c r="O200" s="15">
        <f>((M200*K199)-(N200*J200))/K200</f>
        <v>1537.3705386112913</v>
      </c>
      <c r="P200" s="15">
        <f>(1-N200/M200)*100</f>
        <v>96.621621621621628</v>
      </c>
      <c r="Q200" s="15">
        <v>48.1</v>
      </c>
      <c r="R200" s="15">
        <f>R199-Q200</f>
        <v>154.1</v>
      </c>
      <c r="S200" s="15">
        <f t="shared" ref="S200:S202" si="92">Q200/1000/$B$2</f>
        <v>32.855191256830601</v>
      </c>
      <c r="T200" s="15">
        <v>1187.5999999999999</v>
      </c>
      <c r="U200" s="15">
        <v>35.299999999999997</v>
      </c>
      <c r="V200" s="15">
        <f>((T200*R199)-(U200*Q200))/R200</f>
        <v>1547.2731343283581</v>
      </c>
      <c r="W200" s="15">
        <f>(1-U200/T200)*100</f>
        <v>97.027618726844054</v>
      </c>
      <c r="X200" s="30">
        <f>AVERAGE(L200,S200)</f>
        <v>32.684426229508198</v>
      </c>
      <c r="Y200" s="30">
        <f>STDEV(L200,S200)</f>
        <v>0.24149821761835485</v>
      </c>
      <c r="Z200" s="30">
        <f>AVERAGE(P200,W200)</f>
        <v>96.824620174232848</v>
      </c>
      <c r="AA200" s="30">
        <f>STDEV(P200,W200)</f>
        <v>0.28708330624488543</v>
      </c>
      <c r="AB200" s="30">
        <f>L200/L197</f>
        <v>1</v>
      </c>
      <c r="AC200" s="30">
        <f>S200/S197</f>
        <v>1</v>
      </c>
      <c r="AD200" s="30">
        <f>X200/X197</f>
        <v>1</v>
      </c>
      <c r="AE200" s="30">
        <f>STDEV(AB200,AC200)</f>
        <v>0</v>
      </c>
      <c r="AF200" s="30">
        <f>P200/P197</f>
        <v>0.97992961326579664</v>
      </c>
      <c r="AG200" s="30">
        <f>W200/W197</f>
        <v>0.98007196789836715</v>
      </c>
      <c r="AH200" s="30">
        <f>Z200/Z197</f>
        <v>0.98000093463996618</v>
      </c>
      <c r="AI200" s="30">
        <f>STDEV(AF200,AG200)</f>
        <v>1.0065992602392499E-4</v>
      </c>
    </row>
    <row r="201" spans="1:35" x14ac:dyDescent="0.2">
      <c r="A201" s="15" t="s">
        <v>0</v>
      </c>
      <c r="B201" s="15">
        <v>30</v>
      </c>
      <c r="C201" s="15">
        <v>10</v>
      </c>
      <c r="D201" s="15">
        <v>6000</v>
      </c>
      <c r="E201" s="15">
        <v>24</v>
      </c>
      <c r="F201" s="15" t="s">
        <v>103</v>
      </c>
      <c r="G201" s="15">
        <v>60</v>
      </c>
      <c r="H201" s="15">
        <v>1</v>
      </c>
      <c r="I201" s="15">
        <v>1</v>
      </c>
      <c r="J201" s="15">
        <v>48.3</v>
      </c>
      <c r="K201" s="15">
        <f>$B$3-J201</f>
        <v>201.7</v>
      </c>
      <c r="L201" s="15">
        <f t="shared" si="91"/>
        <v>32.991803278688522</v>
      </c>
      <c r="M201" s="15">
        <v>1000</v>
      </c>
      <c r="N201" s="15">
        <v>15</v>
      </c>
      <c r="O201" s="15">
        <f>((M201*$B$3)-(N201*J201))/K201</f>
        <v>1235.8725830441249</v>
      </c>
      <c r="P201" s="15">
        <f t="shared" ref="P201:P202" si="93">(1-N201/M201)*100</f>
        <v>98.5</v>
      </c>
      <c r="Q201" s="15">
        <v>48.9</v>
      </c>
      <c r="R201" s="15">
        <f>$B$3-Q201</f>
        <v>201.1</v>
      </c>
      <c r="S201" s="15">
        <f t="shared" si="92"/>
        <v>33.401639344262293</v>
      </c>
      <c r="T201" s="15">
        <v>1000</v>
      </c>
      <c r="U201" s="15">
        <v>15</v>
      </c>
      <c r="V201" s="15">
        <f>((T201*$B$3)-(U201*Q201))/R201</f>
        <v>1239.5151665837891</v>
      </c>
      <c r="W201" s="15">
        <f t="shared" ref="W201:W202" si="94">(1-U201/T201)*100</f>
        <v>98.5</v>
      </c>
      <c r="X201" s="30">
        <f>AVERAGE(L201,S201)</f>
        <v>33.196721311475407</v>
      </c>
      <c r="Y201" s="30">
        <f>STDEV(L201,S201)</f>
        <v>0.28979786114202782</v>
      </c>
      <c r="Z201" s="30">
        <f>AVERAGE(P201,W201)</f>
        <v>98.5</v>
      </c>
      <c r="AA201" s="30">
        <f>STDEV(P201,W201)</f>
        <v>0</v>
      </c>
    </row>
    <row r="202" spans="1:35" x14ac:dyDescent="0.2">
      <c r="A202" s="15" t="s">
        <v>0</v>
      </c>
      <c r="B202" s="15">
        <v>30</v>
      </c>
      <c r="C202" s="15">
        <v>10</v>
      </c>
      <c r="D202" s="15">
        <v>6000</v>
      </c>
      <c r="E202" s="15">
        <v>24</v>
      </c>
      <c r="F202" s="15" t="s">
        <v>103</v>
      </c>
      <c r="G202" s="15">
        <v>120</v>
      </c>
      <c r="H202" s="15">
        <v>2</v>
      </c>
      <c r="I202" s="15">
        <v>1</v>
      </c>
      <c r="J202" s="15">
        <v>48.5</v>
      </c>
      <c r="K202" s="15">
        <f>K201-J202</f>
        <v>153.19999999999999</v>
      </c>
      <c r="L202" s="15">
        <f t="shared" si="91"/>
        <v>33.12841530054645</v>
      </c>
      <c r="M202" s="15">
        <v>1188.0999999999999</v>
      </c>
      <c r="N202" s="15">
        <v>13.1</v>
      </c>
      <c r="O202" s="15">
        <f>((M202*K201)-(N202*J202))/K202</f>
        <v>1560.0810704960834</v>
      </c>
      <c r="P202" s="15">
        <f t="shared" si="93"/>
        <v>98.897399208820801</v>
      </c>
      <c r="Q202" s="15">
        <v>48.2</v>
      </c>
      <c r="R202" s="15">
        <f>R201-Q202</f>
        <v>152.89999999999998</v>
      </c>
      <c r="S202" s="15">
        <f t="shared" si="92"/>
        <v>32.923497267759565</v>
      </c>
      <c r="T202" s="15">
        <v>1190.0999999999999</v>
      </c>
      <c r="U202" s="15">
        <v>10.7</v>
      </c>
      <c r="V202" s="15">
        <f>((T202*R201)-(U202*Q202))/R202</f>
        <v>1561.8925441465012</v>
      </c>
      <c r="W202" s="15">
        <f t="shared" si="94"/>
        <v>99.10091588942106</v>
      </c>
      <c r="X202" s="30">
        <f>AVERAGE(L202,S202)</f>
        <v>33.025956284153011</v>
      </c>
      <c r="Y202" s="30">
        <f>STDEV(L202,S202)</f>
        <v>0.14489893057101391</v>
      </c>
      <c r="Z202" s="30">
        <f>AVERAGE(P202,W202)</f>
        <v>98.999157549120923</v>
      </c>
      <c r="AA202" s="30">
        <f>STDEV(P202,W202)</f>
        <v>0.14390802493702004</v>
      </c>
    </row>
    <row r="203" spans="1:35" x14ac:dyDescent="0.2">
      <c r="A203" s="15" t="s">
        <v>0</v>
      </c>
      <c r="B203" s="15">
        <v>30</v>
      </c>
      <c r="C203" s="15">
        <v>10</v>
      </c>
      <c r="D203" s="15">
        <v>6000</v>
      </c>
      <c r="E203" s="15">
        <v>24</v>
      </c>
      <c r="F203" s="15" t="s">
        <v>83</v>
      </c>
      <c r="G203" s="15">
        <v>1440</v>
      </c>
      <c r="H203" s="15">
        <v>24</v>
      </c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35" x14ac:dyDescent="0.2">
      <c r="A204" s="15" t="s">
        <v>0</v>
      </c>
      <c r="B204" s="15">
        <v>30</v>
      </c>
      <c r="C204" s="15">
        <v>10</v>
      </c>
      <c r="D204" s="15">
        <v>6000</v>
      </c>
      <c r="E204" s="15">
        <v>24</v>
      </c>
      <c r="F204" s="15" t="s">
        <v>104</v>
      </c>
      <c r="G204" s="15">
        <v>60</v>
      </c>
      <c r="H204" s="15">
        <v>1</v>
      </c>
      <c r="I204" s="15">
        <v>1</v>
      </c>
      <c r="J204" s="15">
        <v>48.3</v>
      </c>
      <c r="K204" s="15">
        <f>($B$3-J204)</f>
        <v>201.7</v>
      </c>
      <c r="L204" s="15">
        <f>J204/1000/$B$2</f>
        <v>32.991803278688522</v>
      </c>
      <c r="M204" s="15">
        <v>1000</v>
      </c>
      <c r="N204" s="15">
        <v>20</v>
      </c>
      <c r="O204" s="15">
        <f>((M204*$B$3)-(N204*J204))/K204</f>
        <v>1234.6752602875558</v>
      </c>
      <c r="P204" s="15">
        <f>(1-N204/M204)*100</f>
        <v>98</v>
      </c>
      <c r="Q204" s="15">
        <v>48.8</v>
      </c>
      <c r="R204" s="15">
        <f>($B$3-Q204)</f>
        <v>201.2</v>
      </c>
      <c r="S204" s="15">
        <f>Q204/1000/$B$2</f>
        <v>33.333333333333329</v>
      </c>
      <c r="T204" s="15">
        <v>1000</v>
      </c>
      <c r="U204" s="15">
        <v>12</v>
      </c>
      <c r="V204" s="15">
        <f>((T204*$B$3)-(U204*Q204))/R204</f>
        <v>1239.6341948310139</v>
      </c>
      <c r="W204" s="15">
        <f>(1-U204/T204)*100</f>
        <v>98.8</v>
      </c>
      <c r="X204" s="30">
        <f>AVERAGE(L204,S204)</f>
        <v>33.162568306010925</v>
      </c>
      <c r="Y204" s="30">
        <f>STDEV(L204,S204)</f>
        <v>0.24149821761835485</v>
      </c>
      <c r="Z204" s="30">
        <f>AVERAGE(P204,W204)</f>
        <v>98.4</v>
      </c>
      <c r="AA204" s="30">
        <f>STDEV(P204,W204)</f>
        <v>0.56568542494923602</v>
      </c>
    </row>
    <row r="205" spans="1:35" x14ac:dyDescent="0.2">
      <c r="A205" s="15" t="s">
        <v>0</v>
      </c>
      <c r="B205" s="15">
        <v>30</v>
      </c>
      <c r="C205" s="15">
        <v>10</v>
      </c>
      <c r="D205" s="15">
        <v>6000</v>
      </c>
      <c r="E205" s="15">
        <v>24</v>
      </c>
      <c r="F205" s="15" t="s">
        <v>104</v>
      </c>
      <c r="G205" s="15">
        <v>120</v>
      </c>
      <c r="H205" s="15">
        <v>2</v>
      </c>
      <c r="I205" s="15">
        <v>1</v>
      </c>
      <c r="J205" s="15">
        <v>48.6</v>
      </c>
      <c r="K205" s="15">
        <f>K204-J205</f>
        <v>153.1</v>
      </c>
      <c r="L205" s="15">
        <f>J205/1000/$B$2</f>
        <v>33.196721311475414</v>
      </c>
      <c r="M205" s="15">
        <v>1187.4000000000001</v>
      </c>
      <c r="N205" s="15">
        <v>14.2</v>
      </c>
      <c r="O205" s="15">
        <f>((M205*K204)-(N205*J205))/K205</f>
        <v>1559.8201175702156</v>
      </c>
      <c r="P205" s="15">
        <f>(1-N205/M205)*100</f>
        <v>98.804109819774297</v>
      </c>
      <c r="Q205" s="15">
        <v>48</v>
      </c>
      <c r="R205" s="15">
        <f>R204-Q205</f>
        <v>153.19999999999999</v>
      </c>
      <c r="S205" s="15">
        <f>Q205/1000/$B$2</f>
        <v>32.786885245901637</v>
      </c>
      <c r="T205" s="15">
        <v>1191.9000000000001</v>
      </c>
      <c r="U205" s="15">
        <v>9.5</v>
      </c>
      <c r="V205" s="15">
        <f>((T205*R204)-(U205*Q205))/R205</f>
        <v>1562.3647519582246</v>
      </c>
      <c r="W205" s="15">
        <f>(1-U205/T205)*100</f>
        <v>99.202953267891601</v>
      </c>
      <c r="X205" s="30">
        <f>AVERAGE(L205,S205)</f>
        <v>32.991803278688522</v>
      </c>
      <c r="Y205" s="30">
        <f>STDEV(L205,S205)</f>
        <v>0.28979786114203288</v>
      </c>
      <c r="Z205" s="30">
        <f>AVERAGE(P205,W205)</f>
        <v>99.003531543832949</v>
      </c>
      <c r="AA205" s="30">
        <f>STDEV(P205,W205)</f>
        <v>0.28202490679557091</v>
      </c>
      <c r="AB205" s="30">
        <f>L205/L202</f>
        <v>1.0020618556701031</v>
      </c>
      <c r="AC205" s="30">
        <f>S205/S202</f>
        <v>0.99585062240663891</v>
      </c>
      <c r="AD205" s="30">
        <f>X205/X202</f>
        <v>0.99896587383660784</v>
      </c>
      <c r="AE205" s="30">
        <f>STDEV(AB205,AC205)</f>
        <v>4.3920051601269699E-3</v>
      </c>
      <c r="AF205" s="30">
        <f>P205/P202</f>
        <v>0.99905670533509661</v>
      </c>
      <c r="AG205" s="30">
        <f>W205/W202</f>
        <v>1.0010296310337272</v>
      </c>
      <c r="AH205" s="30">
        <f>Z205/Z202</f>
        <v>1.0000441821407404</v>
      </c>
      <c r="AI205" s="30">
        <f>STDEV(AF205,AG205)</f>
        <v>1.3950691402789125E-3</v>
      </c>
    </row>
    <row r="206" spans="1:35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</sheetData>
  <mergeCells count="15">
    <mergeCell ref="A74:AC74"/>
    <mergeCell ref="A8:AC8"/>
    <mergeCell ref="A10:AC10"/>
    <mergeCell ref="A26:AC26"/>
    <mergeCell ref="A42:AC42"/>
    <mergeCell ref="A58:AC58"/>
    <mergeCell ref="A158:AC158"/>
    <mergeCell ref="A174:AC174"/>
    <mergeCell ref="A190:AC190"/>
    <mergeCell ref="A76:AC76"/>
    <mergeCell ref="A92:AC92"/>
    <mergeCell ref="A108:AC108"/>
    <mergeCell ref="A124:AC124"/>
    <mergeCell ref="A140:AC140"/>
    <mergeCell ref="A142:AC1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Surface and solution properties</vt:lpstr>
      <vt:lpstr>SA-BSA Fouling</vt:lpstr>
      <vt:lpstr>pH 7 DI cleaning</vt:lpstr>
      <vt:lpstr>pH 10 cleaning</vt:lpstr>
      <vt:lpstr>pH 10 NaOCl cleaning</vt:lpstr>
      <vt:lpstr>SA_0mM Ca2+</vt:lpstr>
      <vt:lpstr>SA_1mM Ca2+</vt:lpstr>
      <vt:lpstr>SA_2mM Ca2+</vt:lpstr>
      <vt:lpstr>BSA_0mM Ca2+</vt:lpstr>
      <vt:lpstr>BSA_1mM Ca2+</vt:lpstr>
      <vt:lpstr>BSA_2mM Ca2+</vt:lpstr>
      <vt:lpstr>Chlorination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Samarpan Deb Majumder</cp:lastModifiedBy>
  <dcterms:created xsi:type="dcterms:W3CDTF">2025-03-18T00:54:56Z</dcterms:created>
  <dcterms:modified xsi:type="dcterms:W3CDTF">2026-08-19T18:20:34Z</dcterms:modified>
</cp:coreProperties>
</file>